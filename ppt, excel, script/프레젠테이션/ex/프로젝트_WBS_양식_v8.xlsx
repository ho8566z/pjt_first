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대시보드" sheetId="2" r:id="rId6"/>
  </sheets>
  <definedNames/>
  <calcPr/>
</workbook>
</file>

<file path=xl/sharedStrings.xml><?xml version="1.0" encoding="utf-8"?>
<sst xmlns="http://schemas.openxmlformats.org/spreadsheetml/2006/main" count="405" uniqueCount="168">
  <si>
    <t>프로젝트 WBS (Work Breakdown Structure)</t>
  </si>
  <si>
    <t>슬기로운 실무 생활</t>
  </si>
  <si>
    <t>ericshim.tistory.com</t>
  </si>
  <si>
    <t>|</t>
  </si>
  <si>
    <t>brunch.co.kr/@ericshim</t>
  </si>
  <si>
    <t>프로젝트명</t>
  </si>
  <si>
    <t>기준일</t>
  </si>
  <si>
    <t>← 기준일 변경 가능</t>
  </si>
  <si>
    <t>소계 간트:</t>
  </si>
  <si>
    <t>표시</t>
  </si>
  <si>
    <t>클라이언트</t>
  </si>
  <si>
    <t>PM</t>
  </si>
  <si>
    <t>범 례</t>
  </si>
  <si>
    <t>완료</t>
  </si>
  <si>
    <t>진행중(완)</t>
  </si>
  <si>
    <t>진행중(잔)</t>
  </si>
  <si>
    <t>대기</t>
  </si>
  <si>
    <t>보류</t>
  </si>
  <si>
    <t>삭제</t>
  </si>
  <si>
    <t>⚠마감초과</t>
  </si>
  <si>
    <t>⚡미래완료</t>
  </si>
  <si>
    <t>WBS</t>
  </si>
  <si>
    <t>업무명</t>
  </si>
  <si>
    <t>파트</t>
  </si>
  <si>
    <t>담당자</t>
  </si>
  <si>
    <t>등급</t>
  </si>
  <si>
    <t>시작일</t>
  </si>
  <si>
    <t>종료일</t>
  </si>
  <si>
    <t>기간</t>
  </si>
  <si>
    <t>진행률</t>
  </si>
  <si>
    <t>상태</t>
  </si>
  <si>
    <t>메세지(자동)</t>
  </si>
  <si>
    <t>메모(사용자)</t>
  </si>
  <si>
    <t>2026년 5월</t>
  </si>
  <si>
    <t>2026년 6월</t>
  </si>
  <si>
    <t>2026년 7월</t>
  </si>
  <si>
    <t>2026년 8월</t>
  </si>
  <si>
    <t>월</t>
  </si>
  <si>
    <t>화</t>
  </si>
  <si>
    <t>수</t>
  </si>
  <si>
    <t>목</t>
  </si>
  <si>
    <t>금</t>
  </si>
  <si>
    <t>토</t>
  </si>
  <si>
    <t>일</t>
  </si>
  <si>
    <t>현충일</t>
  </si>
  <si>
    <t>광복절</t>
  </si>
  <si>
    <t>공휴일 표시 (Y=출근)</t>
  </si>
  <si>
    <t>휴</t>
  </si>
  <si>
    <t>기준일 →</t>
  </si>
  <si>
    <t>▼</t>
  </si>
  <si>
    <t>1.0</t>
  </si>
  <si>
    <t>기획</t>
  </si>
  <si>
    <t>1.1</t>
  </si>
  <si>
    <t xml:space="preserve">  요구사항 분석</t>
  </si>
  <si>
    <t>김지호</t>
  </si>
  <si>
    <t>특급</t>
  </si>
  <si>
    <t>1.1.1</t>
  </si>
  <si>
    <t xml:space="preserve">    현황 파악 및 분석</t>
  </si>
  <si>
    <t>1.1.2</t>
  </si>
  <si>
    <t xml:space="preserve">    요구사항 문서화</t>
  </si>
  <si>
    <t>1.2</t>
  </si>
  <si>
    <t xml:space="preserve">  콘셉트 기획</t>
  </si>
  <si>
    <t>디자인</t>
  </si>
  <si>
    <t>이수현</t>
  </si>
  <si>
    <t>고급</t>
  </si>
  <si>
    <t>1.3</t>
  </si>
  <si>
    <t xml:space="preserve">  레퍼런스 조사</t>
  </si>
  <si>
    <t>1.4</t>
  </si>
  <si>
    <t xml:space="preserve">  킥오프 미팅</t>
  </si>
  <si>
    <t>전체</t>
  </si>
  <si>
    <t>2.0</t>
  </si>
  <si>
    <t>2.1</t>
  </si>
  <si>
    <t xml:space="preserve">  UI/UX 설계</t>
  </si>
  <si>
    <t>진행중</t>
  </si>
  <si>
    <t>2.1.1</t>
  </si>
  <si>
    <t xml:space="preserve">    사용자 리서치</t>
  </si>
  <si>
    <t>2.1.2</t>
  </si>
  <si>
    <t xml:space="preserve">    정보 구조 설계</t>
  </si>
  <si>
    <t>2.1.3</t>
  </si>
  <si>
    <t xml:space="preserve">    와이어프레임 설계</t>
  </si>
  <si>
    <t>2.1.4</t>
  </si>
  <si>
    <t xml:space="preserve">    UI 디자인 시스템</t>
  </si>
  <si>
    <t>2.1.5</t>
  </si>
  <si>
    <t xml:space="preserve">    프로토타입 제작</t>
  </si>
  <si>
    <t>2.1.6</t>
  </si>
  <si>
    <t xml:space="preserve">    사용성 검토·리뷰</t>
  </si>
  <si>
    <t>2.2</t>
  </si>
  <si>
    <t xml:space="preserve">  비주얼 디자인</t>
  </si>
  <si>
    <t>2.2.1</t>
  </si>
  <si>
    <t xml:space="preserve">    2D 그래픽 제작</t>
  </si>
  <si>
    <t>박민준</t>
  </si>
  <si>
    <t>중급</t>
  </si>
  <si>
    <t>2.2.2</t>
  </si>
  <si>
    <t xml:space="preserve">    3D 모델링</t>
  </si>
  <si>
    <t>3D</t>
  </si>
  <si>
    <t>최준혁</t>
  </si>
  <si>
    <t>변경</t>
  </si>
  <si>
    <t>범위 20→35개</t>
  </si>
  <si>
    <t>2.2.3</t>
  </si>
  <si>
    <t xml:space="preserve">    텍스처·재질 작업</t>
  </si>
  <si>
    <t>3D 완료 후</t>
  </si>
  <si>
    <t>2.3</t>
  </si>
  <si>
    <t xml:space="preserve">  영상·모션</t>
  </si>
  <si>
    <t>영상</t>
  </si>
  <si>
    <t>정다은</t>
  </si>
  <si>
    <t>2.2 완료 후</t>
  </si>
  <si>
    <t>2.4</t>
  </si>
  <si>
    <t xml:space="preserve">  인터랙티브 UI</t>
  </si>
  <si>
    <t>개발</t>
  </si>
  <si>
    <t>-</t>
  </si>
  <si>
    <t>2.5</t>
  </si>
  <si>
    <t xml:space="preserve">  모바일 최적화</t>
  </si>
  <si>
    <t>3.0</t>
  </si>
  <si>
    <t>3.1</t>
  </si>
  <si>
    <t xml:space="preserve">  개발 환경 구축</t>
  </si>
  <si>
    <t>강태양</t>
  </si>
  <si>
    <t>3.2</t>
  </si>
  <si>
    <t xml:space="preserve">  프론트엔드</t>
  </si>
  <si>
    <t>3.2.1</t>
  </si>
  <si>
    <t xml:space="preserve">    UI 컴포넌트 개발</t>
  </si>
  <si>
    <t>3.2.2</t>
  </si>
  <si>
    <t xml:space="preserve">    인터랙션·애니메이션</t>
  </si>
  <si>
    <t>이개발</t>
  </si>
  <si>
    <t>리소스 부족</t>
  </si>
  <si>
    <t>3.3</t>
  </si>
  <si>
    <t xml:space="preserve">  백엔드·서버</t>
  </si>
  <si>
    <t>홍승민</t>
  </si>
  <si>
    <t>3.3.1</t>
  </si>
  <si>
    <t xml:space="preserve">    API 설계 및 개발</t>
  </si>
  <si>
    <t>3.3.2</t>
  </si>
  <si>
    <t xml:space="preserve">    데이터 연동</t>
  </si>
  <si>
    <t>3.4</t>
  </si>
  <si>
    <t xml:space="preserve">  QA·테스트</t>
  </si>
  <si>
    <t>QA</t>
  </si>
  <si>
    <t>윤서연</t>
  </si>
  <si>
    <t>3.4.1</t>
  </si>
  <si>
    <t xml:space="preserve">    기능 테스트</t>
  </si>
  <si>
    <t>3.4.2</t>
  </si>
  <si>
    <t xml:space="preserve">    성능·통합 테스트</t>
  </si>
  <si>
    <t>4.0</t>
  </si>
  <si>
    <t>PM·커뮤니케이션</t>
  </si>
  <si>
    <t>4.1</t>
  </si>
  <si>
    <t xml:space="preserve">  클라이언트 주간 보고</t>
  </si>
  <si>
    <t>4.2</t>
  </si>
  <si>
    <t xml:space="preserve">  내부 진행 미팅</t>
  </si>
  <si>
    <t>4.3</t>
  </si>
  <si>
    <t xml:space="preserve">  리스크 관리</t>
  </si>
  <si>
    <t>4.4</t>
  </si>
  <si>
    <t xml:space="preserve">  프로젝트 문서 관리</t>
  </si>
  <si>
    <t>5.0</t>
  </si>
  <si>
    <t>검수·납품</t>
  </si>
  <si>
    <t>5.1</t>
  </si>
  <si>
    <t xml:space="preserve">  내부 최종 검수</t>
  </si>
  <si>
    <t>5.2</t>
  </si>
  <si>
    <t xml:space="preserve">  클라이언트 검수</t>
  </si>
  <si>
    <t>5.3</t>
  </si>
  <si>
    <t xml:space="preserve">  수정 반영</t>
  </si>
  <si>
    <t>5.4</t>
  </si>
  <si>
    <t xml:space="preserve">  최종 납품</t>
  </si>
  <si>
    <t>프로젝트 전체 현황</t>
  </si>
  <si>
    <t>전체 시작일</t>
  </si>
  <si>
    <t>전체 종료일</t>
  </si>
  <si>
    <t>전체 진행률</t>
  </si>
  <si>
    <t>⚠ 마감 초과</t>
  </si>
  <si>
    <t>⚡ 미래완료 이상</t>
  </si>
  <si>
    <t>슬기로운 실무 생활  |  ericshim.tistory.com  |  brunch.co.kr/@ericshim  |  참고용 예시입니다. 실제 적용 시 내부 기준에 맞게 수정하세요.</t>
  </si>
  <si>
    <t>프로젝트 진행 현황 대시보드</t>
  </si>
  <si>
    <t>상태별 현황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</si>
</sst>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"/>
  </numFmts>
  <fonts count="70">
    <font>
      <sz val="11.0"/>
      <color theme="1"/>
      <name val="Calibri"/>
      <scheme val="minor"/>
    </font>
    <font>
      <b/>
      <sz val="14.0"/>
      <color rgb="FFFFFFFF"/>
      <name val="Malgun Gothic"/>
    </font>
    <font/>
    <font>
      <b/>
      <sz val="9.0"/>
      <color rgb="FF90CAF9"/>
      <name val="Malgun Gothic"/>
    </font>
    <font>
      <u/>
      <sz val="9.0"/>
      <color rgb="FF60A5FA"/>
      <name val="Malgun Gothic"/>
    </font>
    <font>
      <sz val="9.0"/>
      <color rgb="FF4B6A8A"/>
      <name val="Malgun Gothic"/>
    </font>
    <font>
      <sz val="11.0"/>
      <color theme="1"/>
      <name val="Calibri"/>
    </font>
    <font>
      <b/>
      <sz val="10.0"/>
      <color rgb="FF000000"/>
      <name val="Malgun Gothic"/>
    </font>
    <font>
      <color rgb="FF0000FF"/>
      <name val="Malgun Gothic"/>
    </font>
    <font>
      <b/>
      <sz val="9.0"/>
      <color rgb="FF000000"/>
      <name val="Malgun Gothic"/>
    </font>
    <font>
      <b/>
      <sz val="11.0"/>
      <color rgb="FFC2410C"/>
      <name val="Malgun Gothic"/>
    </font>
    <font>
      <i/>
      <sz val="8.0"/>
      <color rgb="FF999999"/>
      <name val="Malgun Gothic"/>
    </font>
    <font>
      <b/>
      <sz val="8.0"/>
      <color rgb="FF000000"/>
      <name val="Malgun Gothic"/>
    </font>
    <font>
      <b/>
      <sz val="10.0"/>
      <color rgb="FF1D4ED8"/>
      <name val="Malgun Gothic"/>
    </font>
    <font>
      <sz val="10.0"/>
      <color rgb="FF000000"/>
      <name val="Malgun Gothic"/>
    </font>
    <font>
      <b/>
      <sz val="8.0"/>
      <color rgb="FF555555"/>
      <name val="Malgun Gothic"/>
    </font>
    <font>
      <b/>
      <sz val="7.0"/>
      <color rgb="FF166534"/>
      <name val="Malgun Gothic"/>
    </font>
    <font>
      <b/>
      <sz val="7.0"/>
      <color rgb="FF2563EB"/>
      <name val="Malgun Gothic"/>
    </font>
    <font>
      <b/>
      <sz val="7.0"/>
      <color rgb="FF1D4ED8"/>
      <name val="Malgun Gothic"/>
    </font>
    <font>
      <b/>
      <sz val="7.0"/>
      <color rgb="FF666666"/>
      <name val="Malgun Gothic"/>
    </font>
    <font>
      <b/>
      <sz val="7.0"/>
      <color rgb="FF854D0E"/>
      <name val="Malgun Gothic"/>
    </font>
    <font>
      <b/>
      <sz val="7.0"/>
      <color rgb="FF991B1B"/>
      <name val="Malgun Gothic"/>
    </font>
    <font>
      <b/>
      <sz val="7.0"/>
      <color rgb="FFFFFFFF"/>
      <name val="Malgun Gothic"/>
    </font>
    <font>
      <b/>
      <sz val="7.0"/>
      <color rgb="FF7C2D12"/>
      <name val="Malgun Gothic"/>
    </font>
    <font>
      <b/>
      <sz val="9.0"/>
      <color rgb="FFFFFFFF"/>
      <name val="Malgun Gothic"/>
    </font>
    <font>
      <b/>
      <sz val="8.0"/>
      <color rgb="FFFFFFFF"/>
      <name val="Malgun Gothic"/>
    </font>
    <font>
      <b/>
      <sz val="9.0"/>
      <color rgb="FF555555"/>
      <name val="Malgun Gothic"/>
    </font>
    <font>
      <b/>
      <sz val="9.0"/>
      <color rgb="FFCC0000"/>
      <name val="Malgun Gothic"/>
    </font>
    <font>
      <sz val="7.0"/>
      <color rgb="FF1D4ED8"/>
      <name val="Malgun Gothic"/>
    </font>
    <font>
      <sz val="7.0"/>
      <color rgb="FF666666"/>
      <name val="Malgun Gothic"/>
    </font>
    <font>
      <sz val="7.0"/>
      <color rgb="FFCC0000"/>
      <name val="Malgun Gothic"/>
    </font>
    <font>
      <sz val="7.0"/>
      <color rgb="FFAAAAAA"/>
      <name val="Malgun Gothic"/>
    </font>
    <font>
      <sz val="7.0"/>
      <color rgb="FF854D0E"/>
      <name val="Malgun Gothic"/>
    </font>
    <font>
      <b/>
      <sz val="8.0"/>
      <color rgb="FFEF4444"/>
      <name val="Malgun Gothic"/>
    </font>
    <font>
      <b/>
      <sz val="9.0"/>
      <color rgb="FFEF4444"/>
      <name val="Malgun Gothic"/>
    </font>
    <font>
      <b/>
      <sz val="10.0"/>
      <color rgb="FFFFFFFF"/>
      <name val="Malgun Gothic"/>
    </font>
    <font>
      <sz val="9.0"/>
      <color rgb="FFFFFFFF"/>
      <name val="Malgun Gothic"/>
    </font>
    <font>
      <b/>
      <sz val="8.0"/>
      <color rgb="FF7F1D1D"/>
      <name val="Malgun Gothic"/>
    </font>
    <font>
      <sz val="9.0"/>
      <color rgb="FFAAAAAA"/>
      <name val="Malgun Gothic"/>
    </font>
    <font>
      <sz val="9.0"/>
      <color rgb="FF0000FF"/>
      <name val="Malgun Gothic"/>
    </font>
    <font>
      <sz val="9.0"/>
      <color rgb="FF000000"/>
      <name val="Malgun Gothic"/>
    </font>
    <font>
      <sz val="10.0"/>
      <color rgb="FF555555"/>
      <name val="Malgun Gothic"/>
    </font>
    <font>
      <sz val="9.0"/>
      <color rgb="FF555555"/>
      <name val="Malgun Gothic"/>
    </font>
    <font>
      <i/>
      <sz val="9.0"/>
      <color rgb="FF1D4ED8"/>
      <name val="Malgun Gothic"/>
    </font>
    <font>
      <b/>
      <sz val="9.0"/>
      <color rgb="FF1F3864"/>
      <name val="Malgun Gothic"/>
    </font>
    <font>
      <b/>
      <sz val="11.0"/>
      <color rgb="FF1D4ED8"/>
      <name val="Malgun Gothic"/>
    </font>
    <font>
      <b/>
      <sz val="9.0"/>
      <color rgb="FFDC2626"/>
      <name val="Malgun Gothic"/>
    </font>
    <font>
      <b/>
      <sz val="11.0"/>
      <color rgb="FFDC2626"/>
      <name val="Malgun Gothic"/>
    </font>
    <font>
      <b/>
      <sz val="9.0"/>
      <color rgb="FFF97316"/>
      <name val="Malgun Gothic"/>
    </font>
    <font>
      <b/>
      <sz val="11.0"/>
      <color rgb="FFF97316"/>
      <name val="Malgun Gothic"/>
    </font>
    <font>
      <i/>
      <sz val="8.0"/>
      <color rgb="FF888888"/>
      <name val="Malgun Gothic"/>
    </font>
    <font>
      <b/>
      <sz val="11.0"/>
      <color rgb="FFFFFFFF"/>
      <name val="Malgun Gothic"/>
    </font>
    <font>
      <b/>
      <sz val="32.0"/>
      <color rgb="FF1D4ED8"/>
      <name val="Malgun Gothic"/>
    </font>
    <font>
      <b/>
      <sz val="10.0"/>
      <color rgb="FF166534"/>
      <name val="Malgun Gothic"/>
    </font>
    <font>
      <b/>
      <sz val="12.0"/>
      <color rgb="FF166534"/>
      <name val="Malgun Gothic"/>
    </font>
    <font>
      <sz val="10.0"/>
      <color rgb="FF166534"/>
      <name val="Consolas"/>
    </font>
    <font>
      <b/>
      <sz val="12.0"/>
      <color rgb="FF1D4ED8"/>
      <name val="Malgun Gothic"/>
    </font>
    <font>
      <sz val="10.0"/>
      <color rgb="FF1D4ED8"/>
      <name val="Consolas"/>
    </font>
    <font>
      <b/>
      <sz val="10.0"/>
      <color rgb="FF888888"/>
      <name val="Malgun Gothic"/>
    </font>
    <font>
      <b/>
      <sz val="12.0"/>
      <color rgb="FF888888"/>
      <name val="Malgun Gothic"/>
    </font>
    <font>
      <sz val="10.0"/>
      <color rgb="FF888888"/>
      <name val="Consolas"/>
    </font>
    <font>
      <b/>
      <sz val="10.0"/>
      <color rgb="FF854D0E"/>
      <name val="Malgun Gothic"/>
    </font>
    <font>
      <b/>
      <sz val="12.0"/>
      <color rgb="FF854D0E"/>
      <name val="Malgun Gothic"/>
    </font>
    <font>
      <sz val="10.0"/>
      <color rgb="FF854D0E"/>
      <name val="Consolas"/>
    </font>
    <font>
      <b/>
      <sz val="10.0"/>
      <color rgb="FFC2410C"/>
      <name val="Malgun Gothic"/>
    </font>
    <font>
      <b/>
      <sz val="12.0"/>
      <color rgb="FFC2410C"/>
      <name val="Malgun Gothic"/>
    </font>
    <font>
      <sz val="10.0"/>
      <color rgb="FFC2410C"/>
      <name val="Consolas"/>
    </font>
    <font>
      <b/>
      <sz val="10.0"/>
      <color rgb="FF991B1B"/>
      <name val="Malgun Gothic"/>
    </font>
    <font>
      <b/>
      <sz val="12.0"/>
      <color rgb="FF991B1B"/>
      <name val="Malgun Gothic"/>
    </font>
    <font>
      <sz val="10.0"/>
      <color rgb="FF991B1B"/>
      <name val="Consolas"/>
    </font>
  </fonts>
  <fills count="2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A2E4A"/>
        <bgColor rgb="FF1A2E4A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0CC"/>
        <bgColor rgb="FFFFF0CC"/>
      </patternFill>
    </fill>
    <fill>
      <patternFill patternType="solid">
        <fgColor rgb="FFE8EFF7"/>
        <bgColor rgb="FFE8EFF7"/>
      </patternFill>
    </fill>
    <fill>
      <patternFill patternType="solid">
        <fgColor rgb="FFEFF6FF"/>
        <bgColor rgb="FFEFF6FF"/>
      </patternFill>
    </fill>
    <fill>
      <patternFill patternType="solid">
        <fgColor rgb="FFF5F5F5"/>
        <bgColor rgb="FFF5F5F5"/>
      </patternFill>
    </fill>
    <fill>
      <patternFill patternType="solid">
        <fgColor rgb="FFE8ECF0"/>
        <bgColor rgb="FFE8ECF0"/>
      </patternFill>
    </fill>
    <fill>
      <patternFill patternType="solid">
        <fgColor rgb="FFF0F4F8"/>
        <bgColor rgb="FFF0F4F8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BFDBFE"/>
        <bgColor rgb="FFBFDBFE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DC2626"/>
        <bgColor rgb="FFDC2626"/>
      </patternFill>
    </fill>
    <fill>
      <patternFill patternType="solid">
        <fgColor rgb="FFFFF7ED"/>
        <bgColor rgb="FFFFF7ED"/>
      </patternFill>
    </fill>
    <fill>
      <patternFill patternType="solid">
        <fgColor rgb="FFDEDEDE"/>
        <bgColor rgb="FFDEDEDE"/>
      </patternFill>
    </fill>
    <fill>
      <patternFill patternType="solid">
        <fgColor rgb="FFFFF3CD"/>
        <bgColor rgb="FFFFF3CD"/>
      </patternFill>
    </fill>
    <fill>
      <patternFill patternType="solid">
        <fgColor rgb="FFEBF5FB"/>
        <bgColor rgb="FFEBF5FB"/>
      </patternFill>
    </fill>
    <fill>
      <patternFill patternType="solid">
        <fgColor rgb="FFFFF8E7"/>
        <bgColor rgb="FFFFF8E7"/>
      </patternFill>
    </fill>
    <fill>
      <patternFill patternType="solid">
        <fgColor rgb="FFFAFAFA"/>
        <bgColor rgb="FFFAFAFA"/>
      </patternFill>
    </fill>
    <fill>
      <patternFill patternType="solid">
        <fgColor rgb="FF374151"/>
        <bgColor rgb="FF374151"/>
      </patternFill>
    </fill>
    <fill>
      <patternFill patternType="solid">
        <fgColor rgb="FFFFFBF0"/>
        <bgColor rgb="FFFFFBF0"/>
      </patternFill>
    </fill>
    <fill>
      <patternFill patternType="solid">
        <fgColor rgb="FFFFF8F8"/>
        <bgColor rgb="FFFFF8F8"/>
      </patternFill>
    </fill>
    <fill>
      <patternFill patternType="solid">
        <fgColor rgb="FFF0F7FF"/>
        <bgColor rgb="FFF0F7FF"/>
      </patternFill>
    </fill>
    <fill>
      <patternFill patternType="solid">
        <fgColor rgb="FFFFEDD5"/>
        <bgColor rgb="FFFFEDD5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4" fillId="3" fontId="4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3" fontId="6" numFmtId="0" xfId="0" applyBorder="1" applyFont="1"/>
    <xf borderId="4" fillId="4" fontId="7" numFmtId="0" xfId="0" applyAlignment="1" applyBorder="1" applyFill="1" applyFont="1">
      <alignment horizontal="center" vertical="center"/>
    </xf>
    <xf borderId="1" fillId="5" fontId="8" numFmtId="0" xfId="0" applyAlignment="1" applyBorder="1" applyFill="1" applyFont="1">
      <alignment horizontal="left" vertical="center"/>
    </xf>
    <xf borderId="4" fillId="6" fontId="9" numFmtId="0" xfId="0" applyAlignment="1" applyBorder="1" applyFill="1" applyFont="1">
      <alignment horizontal="center" vertical="center"/>
    </xf>
    <xf borderId="4" fillId="6" fontId="10" numFmtId="164" xfId="0" applyAlignment="1" applyBorder="1" applyFont="1" applyNumberFormat="1">
      <alignment horizontal="center" vertical="center"/>
    </xf>
    <xf borderId="1" fillId="6" fontId="11" numFmtId="0" xfId="0" applyAlignment="1" applyBorder="1" applyFont="1">
      <alignment horizontal="left" vertical="center"/>
    </xf>
    <xf borderId="4" fillId="7" fontId="12" numFmtId="0" xfId="0" applyAlignment="1" applyBorder="1" applyFill="1" applyFont="1">
      <alignment horizontal="right" vertical="center"/>
    </xf>
    <xf borderId="4" fillId="8" fontId="13" numFmtId="0" xfId="0" applyAlignment="1" applyBorder="1" applyFill="1" applyFont="1">
      <alignment horizontal="center" vertical="center"/>
    </xf>
    <xf borderId="4" fillId="9" fontId="14" numFmtId="0" xfId="0" applyAlignment="1" applyBorder="1" applyFill="1" applyFont="1">
      <alignment horizontal="left" vertical="center"/>
    </xf>
    <xf borderId="4" fillId="10" fontId="6" numFmtId="0" xfId="0" applyBorder="1" applyFill="1" applyFont="1"/>
    <xf borderId="1" fillId="9" fontId="14" numFmtId="0" xfId="0" applyAlignment="1" applyBorder="1" applyFont="1">
      <alignment horizontal="center" vertical="center"/>
    </xf>
    <xf borderId="4" fillId="11" fontId="15" numFmtId="0" xfId="0" applyAlignment="1" applyBorder="1" applyFill="1" applyFont="1">
      <alignment horizontal="center" vertical="center"/>
    </xf>
    <xf borderId="4" fillId="12" fontId="16" numFmtId="0" xfId="0" applyAlignment="1" applyBorder="1" applyFill="1" applyFont="1">
      <alignment horizontal="center" vertical="center"/>
    </xf>
    <xf borderId="4" fillId="13" fontId="17" numFmtId="0" xfId="0" applyAlignment="1" applyBorder="1" applyFill="1" applyFont="1">
      <alignment horizontal="center" vertical="center"/>
    </xf>
    <xf borderId="4" fillId="14" fontId="18" numFmtId="0" xfId="0" applyAlignment="1" applyBorder="1" applyFill="1" applyFont="1">
      <alignment horizontal="center" vertical="center"/>
    </xf>
    <xf borderId="4" fillId="9" fontId="19" numFmtId="0" xfId="0" applyAlignment="1" applyBorder="1" applyFont="1">
      <alignment horizontal="center" vertical="center"/>
    </xf>
    <xf borderId="4" fillId="15" fontId="20" numFmtId="0" xfId="0" applyAlignment="1" applyBorder="1" applyFill="1" applyFont="1">
      <alignment horizontal="center" vertical="center"/>
    </xf>
    <xf borderId="4" fillId="16" fontId="21" numFmtId="0" xfId="0" applyAlignment="1" applyBorder="1" applyFill="1" applyFont="1">
      <alignment horizontal="center" vertical="center"/>
    </xf>
    <xf borderId="4" fillId="17" fontId="22" numFmtId="0" xfId="0" applyAlignment="1" applyBorder="1" applyFill="1" applyFont="1">
      <alignment horizontal="center" vertical="center"/>
    </xf>
    <xf borderId="4" fillId="18" fontId="23" numFmtId="0" xfId="0" applyAlignment="1" applyBorder="1" applyFill="1" applyFont="1">
      <alignment horizontal="center" vertical="center"/>
    </xf>
    <xf borderId="4" fillId="11" fontId="6" numFmtId="0" xfId="0" applyBorder="1" applyFont="1"/>
    <xf borderId="4" fillId="2" fontId="24" numFmtId="0" xfId="0" applyAlignment="1" applyBorder="1" applyFont="1">
      <alignment horizontal="center" vertical="center"/>
    </xf>
    <xf borderId="4" fillId="2" fontId="6" numFmtId="0" xfId="0" applyBorder="1" applyFont="1"/>
    <xf borderId="1" fillId="2" fontId="25" numFmtId="0" xfId="0" applyAlignment="1" applyBorder="1" applyFont="1">
      <alignment horizontal="center" vertical="center"/>
    </xf>
    <xf borderId="4" fillId="2" fontId="24" numFmtId="165" xfId="0" applyAlignment="1" applyBorder="1" applyFont="1" applyNumberFormat="1">
      <alignment horizontal="center" vertical="center"/>
    </xf>
    <xf borderId="4" fillId="19" fontId="26" numFmtId="165" xfId="0" applyAlignment="1" applyBorder="1" applyFill="1" applyFont="1" applyNumberFormat="1">
      <alignment horizontal="center" vertical="center"/>
    </xf>
    <xf borderId="4" fillId="20" fontId="27" numFmtId="165" xfId="0" applyAlignment="1" applyBorder="1" applyFill="1" applyFont="1" applyNumberFormat="1">
      <alignment horizontal="center" vertical="center"/>
    </xf>
    <xf borderId="4" fillId="21" fontId="28" numFmtId="0" xfId="0" applyAlignment="1" applyBorder="1" applyFill="1" applyFont="1">
      <alignment horizontal="center" vertical="center"/>
    </xf>
    <xf borderId="4" fillId="19" fontId="29" numFmtId="0" xfId="0" applyAlignment="1" applyBorder="1" applyFont="1">
      <alignment horizontal="center" vertical="center"/>
    </xf>
    <xf borderId="4" fillId="20" fontId="30" numFmtId="0" xfId="0" applyAlignment="1" applyBorder="1" applyFont="1">
      <alignment horizontal="center" vertical="center"/>
    </xf>
    <xf borderId="1" fillId="22" fontId="20" numFmtId="0" xfId="0" applyAlignment="1" applyBorder="1" applyFill="1" applyFont="1">
      <alignment horizontal="center" vertical="center"/>
    </xf>
    <xf borderId="4" fillId="23" fontId="31" numFmtId="0" xfId="0" applyAlignment="1" applyBorder="1" applyFill="1" applyFont="1">
      <alignment horizontal="center" vertical="center"/>
    </xf>
    <xf borderId="4" fillId="19" fontId="31" numFmtId="0" xfId="0" applyAlignment="1" applyBorder="1" applyFont="1">
      <alignment horizontal="center" vertical="center"/>
    </xf>
    <xf borderId="4" fillId="20" fontId="32" numFmtId="0" xfId="0" applyAlignment="1" applyBorder="1" applyFont="1">
      <alignment horizontal="center" vertical="center"/>
    </xf>
    <xf borderId="1" fillId="16" fontId="33" numFmtId="0" xfId="0" applyAlignment="1" applyBorder="1" applyFont="1">
      <alignment horizontal="right" vertical="center"/>
    </xf>
    <xf borderId="4" fillId="23" fontId="34" numFmtId="0" xfId="0" applyAlignment="1" applyBorder="1" applyFont="1">
      <alignment horizontal="center" vertical="center"/>
    </xf>
    <xf borderId="4" fillId="16" fontId="34" numFmtId="0" xfId="0" applyAlignment="1" applyBorder="1" applyFont="1">
      <alignment horizontal="center" vertical="center"/>
    </xf>
    <xf borderId="4" fillId="24" fontId="24" numFmtId="0" xfId="0" applyAlignment="1" applyBorder="1" applyFill="1" applyFont="1">
      <alignment horizontal="center" vertical="center"/>
    </xf>
    <xf borderId="4" fillId="24" fontId="6" numFmtId="0" xfId="0" applyBorder="1" applyFont="1"/>
    <xf borderId="5" fillId="2" fontId="35" numFmtId="0" xfId="0" applyAlignment="1" applyBorder="1" applyFont="1">
      <alignment horizontal="center" vertical="center"/>
    </xf>
    <xf borderId="5" fillId="2" fontId="35" numFmtId="0" xfId="0" applyAlignment="1" applyBorder="1" applyFont="1">
      <alignment horizontal="left" vertical="center"/>
    </xf>
    <xf borderId="5" fillId="2" fontId="36" numFmtId="0" xfId="0" applyAlignment="1" applyBorder="1" applyFont="1">
      <alignment horizontal="center" vertical="center"/>
    </xf>
    <xf borderId="5" fillId="2" fontId="24" numFmtId="164" xfId="0" applyAlignment="1" applyBorder="1" applyFont="1" applyNumberFormat="1">
      <alignment horizontal="center" vertical="center"/>
    </xf>
    <xf borderId="5" fillId="2" fontId="24" numFmtId="0" xfId="0" applyAlignment="1" applyBorder="1" applyFont="1">
      <alignment horizontal="center" vertical="center"/>
    </xf>
    <xf borderId="5" fillId="2" fontId="24" numFmtId="9" xfId="0" applyAlignment="1" applyBorder="1" applyFont="1" applyNumberFormat="1">
      <alignment horizontal="center" vertical="center"/>
    </xf>
    <xf borderId="5" fillId="2" fontId="37" numFmtId="0" xfId="0" applyAlignment="1" applyBorder="1" applyFont="1">
      <alignment horizontal="left" vertical="center"/>
    </xf>
    <xf borderId="5" fillId="2" fontId="38" numFmtId="0" xfId="0" applyAlignment="1" applyBorder="1" applyFont="1">
      <alignment horizontal="left" vertical="center"/>
    </xf>
    <xf borderId="5" fillId="10" fontId="6" numFmtId="0" xfId="0" applyBorder="1" applyFont="1"/>
    <xf borderId="4" fillId="19" fontId="6" numFmtId="0" xfId="0" applyBorder="1" applyFont="1"/>
    <xf borderId="4" fillId="20" fontId="6" numFmtId="0" xfId="0" applyBorder="1" applyFont="1"/>
    <xf borderId="4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left" vertical="center"/>
    </xf>
    <xf borderId="4" fillId="5" fontId="39" numFmtId="0" xfId="0" applyAlignment="1" applyBorder="1" applyFont="1">
      <alignment horizontal="center" vertical="center"/>
    </xf>
    <xf borderId="4" fillId="25" fontId="39" numFmtId="0" xfId="0" applyAlignment="1" applyBorder="1" applyFill="1" applyFont="1">
      <alignment horizontal="center" vertical="center"/>
    </xf>
    <xf borderId="4" fillId="5" fontId="40" numFmtId="164" xfId="0" applyAlignment="1" applyBorder="1" applyFont="1" applyNumberFormat="1">
      <alignment horizontal="center" vertical="center"/>
    </xf>
    <xf borderId="4" fillId="11" fontId="40" numFmtId="0" xfId="0" applyAlignment="1" applyBorder="1" applyFont="1">
      <alignment horizontal="center" vertical="center"/>
    </xf>
    <xf borderId="4" fillId="5" fontId="40" numFmtId="9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26" fontId="37" numFmtId="0" xfId="0" applyAlignment="1" applyBorder="1" applyFill="1" applyFont="1">
      <alignment horizontal="left" vertical="center"/>
    </xf>
    <xf borderId="4" fillId="27" fontId="38" numFmtId="0" xfId="0" applyAlignment="1" applyBorder="1" applyFill="1" applyFont="1">
      <alignment horizontal="left" vertical="center"/>
    </xf>
    <xf borderId="4" fillId="23" fontId="6" numFmtId="0" xfId="0" applyBorder="1" applyFont="1"/>
    <xf borderId="4" fillId="23" fontId="41" numFmtId="0" xfId="0" applyAlignment="1" applyBorder="1" applyFont="1">
      <alignment horizontal="center" vertical="center"/>
    </xf>
    <xf borderId="4" fillId="23" fontId="41" numFmtId="0" xfId="0" applyAlignment="1" applyBorder="1" applyFont="1">
      <alignment horizontal="left" vertical="center"/>
    </xf>
    <xf borderId="4" fillId="23" fontId="42" numFmtId="164" xfId="0" applyAlignment="1" applyBorder="1" applyFont="1" applyNumberFormat="1">
      <alignment horizontal="center" vertical="center"/>
    </xf>
    <xf borderId="4" fillId="11" fontId="42" numFmtId="0" xfId="0" applyAlignment="1" applyBorder="1" applyFont="1">
      <alignment horizontal="center" vertical="center"/>
    </xf>
    <xf borderId="4" fillId="23" fontId="42" numFmtId="9" xfId="0" applyAlignment="1" applyBorder="1" applyFont="1" applyNumberFormat="1">
      <alignment horizontal="center" vertical="center"/>
    </xf>
    <xf borderId="4" fillId="23" fontId="26" numFmtId="0" xfId="0" applyAlignment="1" applyBorder="1" applyFont="1">
      <alignment horizontal="center" vertical="center"/>
    </xf>
    <xf borderId="4" fillId="27" fontId="43" numFmtId="0" xfId="0" applyAlignment="1" applyBorder="1" applyFont="1">
      <alignment horizontal="left" vertical="center"/>
    </xf>
    <xf borderId="1" fillId="24" fontId="35" numFmtId="0" xfId="0" applyAlignment="1" applyBorder="1" applyFont="1">
      <alignment horizontal="center" vertical="center"/>
    </xf>
    <xf borderId="4" fillId="4" fontId="44" numFmtId="0" xfId="0" applyAlignment="1" applyBorder="1" applyFont="1">
      <alignment horizontal="center" vertical="center"/>
    </xf>
    <xf borderId="1" fillId="8" fontId="45" numFmtId="164" xfId="0" applyAlignment="1" applyBorder="1" applyFont="1" applyNumberFormat="1">
      <alignment horizontal="center" vertical="center"/>
    </xf>
    <xf borderId="1" fillId="8" fontId="45" numFmtId="9" xfId="0" applyAlignment="1" applyBorder="1" applyFont="1" applyNumberFormat="1">
      <alignment horizontal="center" vertical="center"/>
    </xf>
    <xf borderId="4" fillId="16" fontId="46" numFmtId="0" xfId="0" applyAlignment="1" applyBorder="1" applyFont="1">
      <alignment horizontal="center" vertical="center"/>
    </xf>
    <xf borderId="1" fillId="16" fontId="47" numFmtId="1" xfId="0" applyAlignment="1" applyBorder="1" applyFont="1" applyNumberFormat="1">
      <alignment horizontal="center" vertical="center"/>
    </xf>
    <xf borderId="4" fillId="18" fontId="48" numFmtId="0" xfId="0" applyAlignment="1" applyBorder="1" applyFont="1">
      <alignment horizontal="center" vertical="center"/>
    </xf>
    <xf borderId="1" fillId="18" fontId="49" numFmtId="1" xfId="0" applyAlignment="1" applyBorder="1" applyFont="1" applyNumberFormat="1">
      <alignment horizontal="center" vertical="center"/>
    </xf>
    <xf borderId="0" fillId="0" fontId="50" numFmtId="0" xfId="0" applyAlignment="1" applyFont="1">
      <alignment horizontal="center" vertical="center"/>
    </xf>
    <xf borderId="4" fillId="6" fontId="7" numFmtId="0" xfId="0" applyAlignment="1" applyBorder="1" applyFont="1">
      <alignment horizontal="center" vertical="center"/>
    </xf>
    <xf borderId="1" fillId="24" fontId="51" numFmtId="0" xfId="0" applyAlignment="1" applyBorder="1" applyFont="1">
      <alignment horizontal="center" vertical="center"/>
    </xf>
    <xf borderId="1" fillId="8" fontId="52" numFmtId="9" xfId="0" applyAlignment="1" applyBorder="1" applyFont="1" applyNumberFormat="1">
      <alignment horizontal="center" vertical="center"/>
    </xf>
    <xf borderId="4" fillId="12" fontId="53" numFmtId="0" xfId="0" applyAlignment="1" applyBorder="1" applyFont="1">
      <alignment horizontal="center" vertical="center"/>
    </xf>
    <xf borderId="4" fillId="12" fontId="54" numFmtId="0" xfId="0" applyAlignment="1" applyBorder="1" applyFont="1">
      <alignment horizontal="center" vertical="center"/>
    </xf>
    <xf borderId="4" fillId="12" fontId="55" numFmtId="0" xfId="0" applyAlignment="1" applyBorder="1" applyFont="1">
      <alignment horizontal="left" vertical="center"/>
    </xf>
    <xf borderId="4" fillId="13" fontId="13" numFmtId="0" xfId="0" applyAlignment="1" applyBorder="1" applyFont="1">
      <alignment horizontal="center" vertical="center"/>
    </xf>
    <xf borderId="4" fillId="13" fontId="56" numFmtId="0" xfId="0" applyAlignment="1" applyBorder="1" applyFont="1">
      <alignment horizontal="center" vertical="center"/>
    </xf>
    <xf borderId="4" fillId="13" fontId="57" numFmtId="0" xfId="0" applyAlignment="1" applyBorder="1" applyFont="1">
      <alignment horizontal="left" vertical="center"/>
    </xf>
    <xf borderId="4" fillId="9" fontId="58" numFmtId="0" xfId="0" applyAlignment="1" applyBorder="1" applyFont="1">
      <alignment horizontal="center" vertical="center"/>
    </xf>
    <xf borderId="4" fillId="9" fontId="59" numFmtId="0" xfId="0" applyAlignment="1" applyBorder="1" applyFont="1">
      <alignment horizontal="center" vertical="center"/>
    </xf>
    <xf borderId="4" fillId="9" fontId="60" numFmtId="0" xfId="0" applyAlignment="1" applyBorder="1" applyFont="1">
      <alignment horizontal="left" vertical="center"/>
    </xf>
    <xf borderId="4" fillId="15" fontId="61" numFmtId="0" xfId="0" applyAlignment="1" applyBorder="1" applyFont="1">
      <alignment horizontal="center" vertical="center"/>
    </xf>
    <xf borderId="4" fillId="15" fontId="62" numFmtId="0" xfId="0" applyAlignment="1" applyBorder="1" applyFont="1">
      <alignment horizontal="center" vertical="center"/>
    </xf>
    <xf borderId="4" fillId="15" fontId="63" numFmtId="0" xfId="0" applyAlignment="1" applyBorder="1" applyFont="1">
      <alignment horizontal="left" vertical="center"/>
    </xf>
    <xf borderId="4" fillId="28" fontId="64" numFmtId="0" xfId="0" applyAlignment="1" applyBorder="1" applyFill="1" applyFont="1">
      <alignment horizontal="center" vertical="center"/>
    </xf>
    <xf borderId="4" fillId="28" fontId="65" numFmtId="0" xfId="0" applyAlignment="1" applyBorder="1" applyFont="1">
      <alignment horizontal="center" vertical="center"/>
    </xf>
    <xf borderId="4" fillId="28" fontId="66" numFmtId="0" xfId="0" applyAlignment="1" applyBorder="1" applyFont="1">
      <alignment horizontal="left" vertical="center"/>
    </xf>
    <xf borderId="4" fillId="16" fontId="67" numFmtId="0" xfId="0" applyAlignment="1" applyBorder="1" applyFont="1">
      <alignment horizontal="center" vertical="center"/>
    </xf>
    <xf borderId="4" fillId="16" fontId="68" numFmtId="0" xfId="0" applyAlignment="1" applyBorder="1" applyFont="1">
      <alignment horizontal="center" vertical="center"/>
    </xf>
    <xf borderId="4" fillId="16" fontId="69" numFmtId="0" xfId="0" applyAlignment="1" applyBorder="1" applyFont="1">
      <alignment horizontal="left" vertical="center"/>
    </xf>
  </cellXfs>
  <cellStyles count="1">
    <cellStyle xfId="0" name="Normal" builtinId="0"/>
  </cellStyles>
  <dxfs count="22">
    <dxf>
      <font>
        <b/>
        <color rgb="FF7F1D1D"/>
      </font>
      <fill>
        <patternFill patternType="solid">
          <fgColor rgb="FFFEE2E2"/>
          <bgColor rgb="FFFEE2E2"/>
        </patternFill>
      </fill>
      <border/>
    </dxf>
    <dxf>
      <font>
        <b/>
        <color rgb="FF7C2D12"/>
      </font>
      <fill>
        <patternFill patternType="solid">
          <fgColor rgb="FFFFF7ED"/>
          <bgColor rgb="FFFFF7ED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1D4ED8"/>
      </font>
      <fill>
        <patternFill patternType="solid">
          <fgColor rgb="FFEFF6FF"/>
          <bgColor rgb="FFEFF6FF"/>
        </patternFill>
      </fill>
      <border/>
    </dxf>
    <dxf>
      <font>
        <color rgb="FF666666"/>
      </font>
      <fill>
        <patternFill patternType="solid">
          <fgColor rgb="FFF5F5F5"/>
          <bgColor rgb="FFF5F5F5"/>
        </patternFill>
      </fill>
      <border/>
    </dxf>
    <dxf>
      <font>
        <color rgb="FF854D0E"/>
      </font>
      <fill>
        <patternFill patternType="solid">
          <fgColor rgb="FFFEF9C3"/>
          <bgColor rgb="FFFEF9C3"/>
        </patternFill>
      </fill>
      <border/>
    </dxf>
    <dxf>
      <font>
        <color rgb="FFC2410C"/>
      </font>
      <fill>
        <patternFill patternType="solid">
          <fgColor rgb="FFFFEDD5"/>
          <bgColor rgb="FFFFEDD5"/>
        </patternFill>
      </fill>
      <border/>
    </dxf>
    <dxf>
      <font>
        <strike/>
        <color rgb="FF6B7280"/>
      </font>
      <fill>
        <patternFill patternType="solid">
          <fgColor rgb="FFE5E7EB"/>
          <bgColor rgb="FFE5E7EB"/>
        </patternFill>
      </fill>
      <border/>
    </dxf>
    <dxf>
      <font>
        <b/>
        <color rgb="FFFFFFFF"/>
      </font>
      <fill>
        <patternFill patternType="solid">
          <fgColor rgb="FFDC2626"/>
          <bgColor rgb="FFDC2626"/>
        </patternFill>
      </fill>
      <border/>
    </dxf>
    <dxf>
      <font>
        <b/>
        <color rgb="FFFFFFFF"/>
      </font>
      <fill>
        <patternFill patternType="solid">
          <fgColor rgb="FFF97316"/>
          <bgColor rgb="FFF97316"/>
        </patternFill>
      </fill>
      <border/>
    </dxf>
    <dxf>
      <font>
        <b/>
        <color rgb="FFDC2626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374151"/>
          <bgColor rgb="FF374151"/>
        </patternFill>
      </fill>
      <border/>
    </dxf>
    <dxf>
      <font/>
      <fill>
        <patternFill patternType="solid">
          <fgColor rgb="FF166534"/>
          <bgColor rgb="FF166534"/>
        </patternFill>
      </fill>
      <border/>
    </dxf>
    <dxf>
      <font/>
      <fill>
        <patternFill patternType="solid">
          <fgColor rgb="FF2563EB"/>
          <bgColor rgb="FF2563EB"/>
        </patternFill>
      </fill>
      <border/>
    </dxf>
    <dxf>
      <font/>
      <fill>
        <patternFill patternType="solid">
          <fgColor rgb="FFBFDBFE"/>
          <bgColor rgb="FFBFDBFE"/>
        </patternFill>
      </fill>
      <border/>
    </dxf>
    <dxf>
      <font/>
      <fill>
        <patternFill patternType="solid">
          <fgColor rgb="FFCBD5E1"/>
          <bgColor rgb="FFCBD5E1"/>
        </patternFill>
      </fill>
      <border/>
    </dxf>
    <dxf>
      <font/>
      <fill>
        <patternFill patternType="solid">
          <fgColor rgb="FFD97706"/>
          <bgColor rgb="FFD97706"/>
        </patternFill>
      </fill>
      <border/>
    </dxf>
    <dxf>
      <font/>
      <fill>
        <patternFill patternType="solid">
          <fgColor rgb="FFEA580C"/>
          <bgColor rgb="FFEA580C"/>
        </patternFill>
      </fill>
      <border/>
    </dxf>
    <dxf>
      <font/>
      <fill>
        <patternFill patternType="solid">
          <fgColor rgb="FFFED7AA"/>
          <bgColor rgb="FFFED7AA"/>
        </patternFill>
      </fill>
      <border/>
    </dxf>
    <dxf>
      <font/>
      <fill>
        <patternFill patternType="solid">
          <fgColor rgb="FFFCA5A5"/>
          <bgColor rgb="FFFCA5A5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FF7ED"/>
          <bgColor rgb="FFFFF7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ricshim.tistory.com/" TargetMode="External"/><Relationship Id="rId2" Type="http://schemas.openxmlformats.org/officeDocument/2006/relationships/hyperlink" Target="https://brunch.co.kr/@ericshim?tab=work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ricshim.tistory.com/" TargetMode="External"/><Relationship Id="rId2" Type="http://schemas.openxmlformats.org/officeDocument/2006/relationships/hyperlink" Target="https://brunch.co.kr/@ericshim?tab=works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3.0" ySplit="11.0" topLeftCell="N12" activePane="bottomRight" state="frozen"/>
      <selection activeCell="N1" sqref="N1" pane="topRight"/>
      <selection activeCell="A12" sqref="A12" pane="bottomLeft"/>
      <selection activeCell="N12" sqref="N12" pane="bottomRight"/>
    </sheetView>
  </sheetViews>
  <sheetFormatPr customHeight="1" defaultColWidth="14.43" defaultRowHeight="15.0" outlineLevelRow="2"/>
  <cols>
    <col customWidth="1" min="1" max="1" width="15.43"/>
    <col customWidth="1" min="2" max="2" width="26.0"/>
    <col customWidth="1" min="3" max="4" width="10.0"/>
    <col customWidth="1" min="5" max="5" width="8.0"/>
    <col customWidth="1" min="6" max="7" width="11.0"/>
    <col customWidth="1" min="8" max="8" width="7.0"/>
    <col customWidth="1" min="9" max="9" width="8.0"/>
    <col customWidth="1" min="10" max="10" width="10.0"/>
    <col customWidth="1" min="11" max="11" width="18.0"/>
    <col customWidth="1" min="12" max="12" width="22.0"/>
    <col customWidth="1" min="13" max="13" width="2.0"/>
    <col customWidth="1" min="14" max="102" width="5.0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3"/>
    </row>
    <row r="2" ht="18.0" customHeight="1">
      <c r="A2" s="4" t="s">
        <v>1</v>
      </c>
      <c r="B2" s="5" t="s">
        <v>2</v>
      </c>
      <c r="C2" s="6" t="s">
        <v>3</v>
      </c>
      <c r="D2" s="5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</row>
    <row r="3" ht="21.75" customHeight="1">
      <c r="A3" s="8" t="s">
        <v>5</v>
      </c>
      <c r="B3" s="9"/>
      <c r="C3" s="2"/>
      <c r="D3" s="3"/>
      <c r="E3" s="10" t="s">
        <v>6</v>
      </c>
      <c r="F3" s="11">
        <v>46188.0</v>
      </c>
      <c r="G3" s="12" t="s">
        <v>7</v>
      </c>
      <c r="H3" s="2"/>
      <c r="I3" s="3"/>
      <c r="J3" s="13" t="s">
        <v>8</v>
      </c>
      <c r="K3" s="14" t="s">
        <v>9</v>
      </c>
      <c r="L3" s="15"/>
      <c r="M3" s="16"/>
      <c r="N3" s="1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3"/>
    </row>
    <row r="4" ht="19.5" customHeight="1">
      <c r="A4" s="8" t="s">
        <v>10</v>
      </c>
      <c r="B4" s="9"/>
      <c r="C4" s="2"/>
      <c r="D4" s="3"/>
      <c r="E4" s="8" t="s">
        <v>11</v>
      </c>
      <c r="F4" s="9"/>
      <c r="G4" s="2"/>
      <c r="H4" s="2"/>
      <c r="I4" s="2"/>
      <c r="J4" s="2"/>
      <c r="K4" s="2"/>
      <c r="L4" s="3"/>
      <c r="M4" s="16"/>
      <c r="N4" s="1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3"/>
    </row>
    <row r="5" ht="15.75" customHeight="1">
      <c r="A5" s="18" t="s">
        <v>12</v>
      </c>
      <c r="B5" s="19" t="s">
        <v>13</v>
      </c>
      <c r="C5" s="20" t="s">
        <v>14</v>
      </c>
      <c r="D5" s="21" t="s">
        <v>15</v>
      </c>
      <c r="E5" s="22" t="s">
        <v>16</v>
      </c>
      <c r="F5" s="23" t="s">
        <v>17</v>
      </c>
      <c r="G5" s="24" t="s">
        <v>18</v>
      </c>
      <c r="H5" s="25" t="s">
        <v>19</v>
      </c>
      <c r="I5" s="26" t="s">
        <v>20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</row>
    <row r="6" ht="15.75" customHeight="1">
      <c r="A6" s="28" t="s">
        <v>21</v>
      </c>
      <c r="B6" s="28" t="s">
        <v>22</v>
      </c>
      <c r="C6" s="28" t="s">
        <v>23</v>
      </c>
      <c r="D6" s="28" t="s">
        <v>24</v>
      </c>
      <c r="E6" s="28" t="s">
        <v>25</v>
      </c>
      <c r="F6" s="28" t="s">
        <v>26</v>
      </c>
      <c r="G6" s="28" t="s">
        <v>27</v>
      </c>
      <c r="H6" s="28" t="s">
        <v>28</v>
      </c>
      <c r="I6" s="28" t="s">
        <v>29</v>
      </c>
      <c r="J6" s="28" t="s">
        <v>30</v>
      </c>
      <c r="K6" s="28" t="s">
        <v>31</v>
      </c>
      <c r="L6" s="28" t="s">
        <v>32</v>
      </c>
      <c r="M6" s="29"/>
      <c r="N6" s="30" t="s">
        <v>33</v>
      </c>
      <c r="O6" s="2"/>
      <c r="P6" s="2"/>
      <c r="Q6" s="2"/>
      <c r="R6" s="2"/>
      <c r="S6" s="2"/>
      <c r="T6" s="3"/>
      <c r="U6" s="30" t="s">
        <v>34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3"/>
      <c r="AY6" s="30" t="s">
        <v>35</v>
      </c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3"/>
      <c r="CD6" s="30" t="s">
        <v>36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3"/>
    </row>
    <row r="7" ht="21.75" customHeight="1">
      <c r="N7" s="31">
        <v>46167.0</v>
      </c>
      <c r="O7" s="31">
        <v>46168.0</v>
      </c>
      <c r="P7" s="31">
        <v>46169.0</v>
      </c>
      <c r="Q7" s="31">
        <v>46170.0</v>
      </c>
      <c r="R7" s="31">
        <v>46171.0</v>
      </c>
      <c r="S7" s="32">
        <v>46172.0</v>
      </c>
      <c r="T7" s="32">
        <v>46173.0</v>
      </c>
      <c r="U7" s="31">
        <v>46174.0</v>
      </c>
      <c r="V7" s="31">
        <v>46175.0</v>
      </c>
      <c r="W7" s="31">
        <v>46176.0</v>
      </c>
      <c r="X7" s="31">
        <v>46177.0</v>
      </c>
      <c r="Y7" s="31">
        <v>46178.0</v>
      </c>
      <c r="Z7" s="33">
        <v>46179.0</v>
      </c>
      <c r="AA7" s="32">
        <v>46180.0</v>
      </c>
      <c r="AB7" s="31">
        <v>46181.0</v>
      </c>
      <c r="AC7" s="31">
        <v>46182.0</v>
      </c>
      <c r="AD7" s="31">
        <v>46183.0</v>
      </c>
      <c r="AE7" s="31">
        <v>46184.0</v>
      </c>
      <c r="AF7" s="31">
        <v>46185.0</v>
      </c>
      <c r="AG7" s="32">
        <v>46186.0</v>
      </c>
      <c r="AH7" s="32">
        <v>46187.0</v>
      </c>
      <c r="AI7" s="31">
        <v>46188.0</v>
      </c>
      <c r="AJ7" s="31">
        <v>46189.0</v>
      </c>
      <c r="AK7" s="31">
        <v>46190.0</v>
      </c>
      <c r="AL7" s="31">
        <v>46191.0</v>
      </c>
      <c r="AM7" s="31">
        <v>46192.0</v>
      </c>
      <c r="AN7" s="32">
        <v>46193.0</v>
      </c>
      <c r="AO7" s="32">
        <v>46194.0</v>
      </c>
      <c r="AP7" s="31">
        <v>46195.0</v>
      </c>
      <c r="AQ7" s="31">
        <v>46196.0</v>
      </c>
      <c r="AR7" s="31">
        <v>46197.0</v>
      </c>
      <c r="AS7" s="31">
        <v>46198.0</v>
      </c>
      <c r="AT7" s="31">
        <v>46199.0</v>
      </c>
      <c r="AU7" s="32">
        <v>46200.0</v>
      </c>
      <c r="AV7" s="32">
        <v>46201.0</v>
      </c>
      <c r="AW7" s="31">
        <v>46202.0</v>
      </c>
      <c r="AX7" s="31">
        <v>46203.0</v>
      </c>
      <c r="AY7" s="31">
        <v>46204.0</v>
      </c>
      <c r="AZ7" s="31">
        <v>46205.0</v>
      </c>
      <c r="BA7" s="31">
        <v>46206.0</v>
      </c>
      <c r="BB7" s="32">
        <v>46207.0</v>
      </c>
      <c r="BC7" s="32">
        <v>46208.0</v>
      </c>
      <c r="BD7" s="31">
        <v>46209.0</v>
      </c>
      <c r="BE7" s="31">
        <v>46210.0</v>
      </c>
      <c r="BF7" s="31">
        <v>46211.0</v>
      </c>
      <c r="BG7" s="31">
        <v>46212.0</v>
      </c>
      <c r="BH7" s="31">
        <v>46213.0</v>
      </c>
      <c r="BI7" s="32">
        <v>46214.0</v>
      </c>
      <c r="BJ7" s="32">
        <v>46215.0</v>
      </c>
      <c r="BK7" s="31">
        <v>46216.0</v>
      </c>
      <c r="BL7" s="31">
        <v>46217.0</v>
      </c>
      <c r="BM7" s="31">
        <v>46218.0</v>
      </c>
      <c r="BN7" s="31">
        <v>46219.0</v>
      </c>
      <c r="BO7" s="31">
        <v>46220.0</v>
      </c>
      <c r="BP7" s="32">
        <v>46221.0</v>
      </c>
      <c r="BQ7" s="32">
        <v>46222.0</v>
      </c>
      <c r="BR7" s="31">
        <v>46223.0</v>
      </c>
      <c r="BS7" s="31">
        <v>46224.0</v>
      </c>
      <c r="BT7" s="31">
        <v>46225.0</v>
      </c>
      <c r="BU7" s="31">
        <v>46226.0</v>
      </c>
      <c r="BV7" s="31">
        <v>46227.0</v>
      </c>
      <c r="BW7" s="32">
        <v>46228.0</v>
      </c>
      <c r="BX7" s="32">
        <v>46229.0</v>
      </c>
      <c r="BY7" s="31">
        <v>46230.0</v>
      </c>
      <c r="BZ7" s="31">
        <v>46231.0</v>
      </c>
      <c r="CA7" s="31">
        <v>46232.0</v>
      </c>
      <c r="CB7" s="31">
        <v>46233.0</v>
      </c>
      <c r="CC7" s="31">
        <v>46234.0</v>
      </c>
      <c r="CD7" s="32">
        <v>46235.0</v>
      </c>
      <c r="CE7" s="32">
        <v>46236.0</v>
      </c>
      <c r="CF7" s="31">
        <v>46237.0</v>
      </c>
      <c r="CG7" s="31">
        <v>46238.0</v>
      </c>
      <c r="CH7" s="31">
        <v>46239.0</v>
      </c>
      <c r="CI7" s="31">
        <v>46240.0</v>
      </c>
      <c r="CJ7" s="31">
        <v>46241.0</v>
      </c>
      <c r="CK7" s="32">
        <v>46242.0</v>
      </c>
      <c r="CL7" s="32">
        <v>46243.0</v>
      </c>
      <c r="CM7" s="31">
        <v>46244.0</v>
      </c>
      <c r="CN7" s="31">
        <v>46245.0</v>
      </c>
      <c r="CO7" s="31">
        <v>46246.0</v>
      </c>
      <c r="CP7" s="31">
        <v>46247.0</v>
      </c>
      <c r="CQ7" s="31">
        <v>46248.0</v>
      </c>
      <c r="CR7" s="33">
        <v>46249.0</v>
      </c>
      <c r="CS7" s="32">
        <v>46250.0</v>
      </c>
      <c r="CT7" s="31">
        <v>46251.0</v>
      </c>
      <c r="CU7" s="31">
        <v>46252.0</v>
      </c>
      <c r="CV7" s="31">
        <v>46253.0</v>
      </c>
      <c r="CW7" s="31">
        <v>46254.0</v>
      </c>
      <c r="CX7" s="31">
        <v>46255.0</v>
      </c>
    </row>
    <row r="8" ht="13.5" customHeight="1">
      <c r="N8" s="34" t="s">
        <v>37</v>
      </c>
      <c r="O8" s="34" t="s">
        <v>38</v>
      </c>
      <c r="P8" s="34" t="s">
        <v>39</v>
      </c>
      <c r="Q8" s="34" t="s">
        <v>40</v>
      </c>
      <c r="R8" s="34" t="s">
        <v>41</v>
      </c>
      <c r="S8" s="35" t="s">
        <v>42</v>
      </c>
      <c r="T8" s="35" t="s">
        <v>43</v>
      </c>
      <c r="U8" s="34" t="s">
        <v>37</v>
      </c>
      <c r="V8" s="34" t="s">
        <v>38</v>
      </c>
      <c r="W8" s="34" t="s">
        <v>39</v>
      </c>
      <c r="X8" s="34" t="s">
        <v>40</v>
      </c>
      <c r="Y8" s="34" t="s">
        <v>41</v>
      </c>
      <c r="Z8" s="36" t="s">
        <v>44</v>
      </c>
      <c r="AA8" s="35" t="s">
        <v>43</v>
      </c>
      <c r="AB8" s="34" t="s">
        <v>37</v>
      </c>
      <c r="AC8" s="34" t="s">
        <v>38</v>
      </c>
      <c r="AD8" s="34" t="s">
        <v>39</v>
      </c>
      <c r="AE8" s="34" t="s">
        <v>40</v>
      </c>
      <c r="AF8" s="34" t="s">
        <v>41</v>
      </c>
      <c r="AG8" s="35" t="s">
        <v>42</v>
      </c>
      <c r="AH8" s="35" t="s">
        <v>43</v>
      </c>
      <c r="AI8" s="34" t="s">
        <v>37</v>
      </c>
      <c r="AJ8" s="34" t="s">
        <v>38</v>
      </c>
      <c r="AK8" s="34" t="s">
        <v>39</v>
      </c>
      <c r="AL8" s="34" t="s">
        <v>40</v>
      </c>
      <c r="AM8" s="34" t="s">
        <v>41</v>
      </c>
      <c r="AN8" s="35" t="s">
        <v>42</v>
      </c>
      <c r="AO8" s="35" t="s">
        <v>43</v>
      </c>
      <c r="AP8" s="34" t="s">
        <v>37</v>
      </c>
      <c r="AQ8" s="34" t="s">
        <v>38</v>
      </c>
      <c r="AR8" s="34" t="s">
        <v>39</v>
      </c>
      <c r="AS8" s="34" t="s">
        <v>40</v>
      </c>
      <c r="AT8" s="34" t="s">
        <v>41</v>
      </c>
      <c r="AU8" s="35" t="s">
        <v>42</v>
      </c>
      <c r="AV8" s="35" t="s">
        <v>43</v>
      </c>
      <c r="AW8" s="34" t="s">
        <v>37</v>
      </c>
      <c r="AX8" s="34" t="s">
        <v>38</v>
      </c>
      <c r="AY8" s="34" t="s">
        <v>39</v>
      </c>
      <c r="AZ8" s="34" t="s">
        <v>40</v>
      </c>
      <c r="BA8" s="34" t="s">
        <v>41</v>
      </c>
      <c r="BB8" s="35" t="s">
        <v>42</v>
      </c>
      <c r="BC8" s="35" t="s">
        <v>43</v>
      </c>
      <c r="BD8" s="34" t="s">
        <v>37</v>
      </c>
      <c r="BE8" s="34" t="s">
        <v>38</v>
      </c>
      <c r="BF8" s="34" t="s">
        <v>39</v>
      </c>
      <c r="BG8" s="34" t="s">
        <v>40</v>
      </c>
      <c r="BH8" s="34" t="s">
        <v>41</v>
      </c>
      <c r="BI8" s="35" t="s">
        <v>42</v>
      </c>
      <c r="BJ8" s="35" t="s">
        <v>43</v>
      </c>
      <c r="BK8" s="34" t="s">
        <v>37</v>
      </c>
      <c r="BL8" s="34" t="s">
        <v>38</v>
      </c>
      <c r="BM8" s="34" t="s">
        <v>39</v>
      </c>
      <c r="BN8" s="34" t="s">
        <v>40</v>
      </c>
      <c r="BO8" s="34" t="s">
        <v>41</v>
      </c>
      <c r="BP8" s="35" t="s">
        <v>42</v>
      </c>
      <c r="BQ8" s="35" t="s">
        <v>43</v>
      </c>
      <c r="BR8" s="34" t="s">
        <v>37</v>
      </c>
      <c r="BS8" s="34" t="s">
        <v>38</v>
      </c>
      <c r="BT8" s="34" t="s">
        <v>39</v>
      </c>
      <c r="BU8" s="34" t="s">
        <v>40</v>
      </c>
      <c r="BV8" s="34" t="s">
        <v>41</v>
      </c>
      <c r="BW8" s="35" t="s">
        <v>42</v>
      </c>
      <c r="BX8" s="35" t="s">
        <v>43</v>
      </c>
      <c r="BY8" s="34" t="s">
        <v>37</v>
      </c>
      <c r="BZ8" s="34" t="s">
        <v>38</v>
      </c>
      <c r="CA8" s="34" t="s">
        <v>39</v>
      </c>
      <c r="CB8" s="34" t="s">
        <v>40</v>
      </c>
      <c r="CC8" s="34" t="s">
        <v>41</v>
      </c>
      <c r="CD8" s="35" t="s">
        <v>42</v>
      </c>
      <c r="CE8" s="35" t="s">
        <v>43</v>
      </c>
      <c r="CF8" s="34" t="s">
        <v>37</v>
      </c>
      <c r="CG8" s="34" t="s">
        <v>38</v>
      </c>
      <c r="CH8" s="34" t="s">
        <v>39</v>
      </c>
      <c r="CI8" s="34" t="s">
        <v>40</v>
      </c>
      <c r="CJ8" s="34" t="s">
        <v>41</v>
      </c>
      <c r="CK8" s="35" t="s">
        <v>42</v>
      </c>
      <c r="CL8" s="35" t="s">
        <v>43</v>
      </c>
      <c r="CM8" s="34" t="s">
        <v>37</v>
      </c>
      <c r="CN8" s="34" t="s">
        <v>38</v>
      </c>
      <c r="CO8" s="34" t="s">
        <v>39</v>
      </c>
      <c r="CP8" s="34" t="s">
        <v>40</v>
      </c>
      <c r="CQ8" s="34" t="s">
        <v>41</v>
      </c>
      <c r="CR8" s="36" t="s">
        <v>45</v>
      </c>
      <c r="CS8" s="35" t="s">
        <v>43</v>
      </c>
      <c r="CT8" s="34" t="s">
        <v>37</v>
      </c>
      <c r="CU8" s="34" t="s">
        <v>38</v>
      </c>
      <c r="CV8" s="34" t="s">
        <v>39</v>
      </c>
      <c r="CW8" s="34" t="s">
        <v>40</v>
      </c>
      <c r="CX8" s="34" t="s">
        <v>41</v>
      </c>
    </row>
    <row r="9" ht="13.5" customHeight="1">
      <c r="A9" s="37" t="s">
        <v>46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8"/>
      <c r="O9" s="38"/>
      <c r="P9" s="38"/>
      <c r="Q9" s="38"/>
      <c r="R9" s="38"/>
      <c r="S9" s="39"/>
      <c r="T9" s="39"/>
      <c r="U9" s="38"/>
      <c r="V9" s="38"/>
      <c r="W9" s="38"/>
      <c r="X9" s="38"/>
      <c r="Y9" s="38"/>
      <c r="Z9" s="40" t="s">
        <v>47</v>
      </c>
      <c r="AA9" s="39"/>
      <c r="AB9" s="38"/>
      <c r="AC9" s="38"/>
      <c r="AD9" s="38"/>
      <c r="AE9" s="38"/>
      <c r="AF9" s="38"/>
      <c r="AG9" s="39"/>
      <c r="AH9" s="39"/>
      <c r="AI9" s="38"/>
      <c r="AJ9" s="38"/>
      <c r="AK9" s="38"/>
      <c r="AL9" s="38"/>
      <c r="AM9" s="38"/>
      <c r="AN9" s="39"/>
      <c r="AO9" s="39"/>
      <c r="AP9" s="38"/>
      <c r="AQ9" s="38"/>
      <c r="AR9" s="38"/>
      <c r="AS9" s="38"/>
      <c r="AT9" s="38"/>
      <c r="AU9" s="39"/>
      <c r="AV9" s="39"/>
      <c r="AW9" s="38"/>
      <c r="AX9" s="38"/>
      <c r="AY9" s="38"/>
      <c r="AZ9" s="38"/>
      <c r="BA9" s="38"/>
      <c r="BB9" s="39"/>
      <c r="BC9" s="39"/>
      <c r="BD9" s="38"/>
      <c r="BE9" s="38"/>
      <c r="BF9" s="38"/>
      <c r="BG9" s="38"/>
      <c r="BH9" s="38"/>
      <c r="BI9" s="39"/>
      <c r="BJ9" s="39"/>
      <c r="BK9" s="38"/>
      <c r="BL9" s="38"/>
      <c r="BM9" s="38"/>
      <c r="BN9" s="38"/>
      <c r="BO9" s="38"/>
      <c r="BP9" s="39"/>
      <c r="BQ9" s="39"/>
      <c r="BR9" s="38"/>
      <c r="BS9" s="38"/>
      <c r="BT9" s="38"/>
      <c r="BU9" s="38"/>
      <c r="BV9" s="38"/>
      <c r="BW9" s="39"/>
      <c r="BX9" s="39"/>
      <c r="BY9" s="38"/>
      <c r="BZ9" s="38"/>
      <c r="CA9" s="38"/>
      <c r="CB9" s="38"/>
      <c r="CC9" s="38"/>
      <c r="CD9" s="39"/>
      <c r="CE9" s="39"/>
      <c r="CF9" s="38"/>
      <c r="CG9" s="38"/>
      <c r="CH9" s="38"/>
      <c r="CI9" s="38"/>
      <c r="CJ9" s="38"/>
      <c r="CK9" s="39"/>
      <c r="CL9" s="39"/>
      <c r="CM9" s="38"/>
      <c r="CN9" s="38"/>
      <c r="CO9" s="38"/>
      <c r="CP9" s="38"/>
      <c r="CQ9" s="38"/>
      <c r="CR9" s="40" t="s">
        <v>47</v>
      </c>
      <c r="CS9" s="39"/>
      <c r="CT9" s="38"/>
      <c r="CU9" s="38"/>
      <c r="CV9" s="38"/>
      <c r="CW9" s="38"/>
      <c r="CX9" s="38"/>
    </row>
    <row r="10" ht="12.0" customHeight="1">
      <c r="A10" s="41" t="s">
        <v>48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3" t="s">
        <v>49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</row>
    <row r="11" ht="21.75" customHeight="1">
      <c r="A11" s="44" t="s">
        <v>21</v>
      </c>
      <c r="B11" s="44" t="s">
        <v>22</v>
      </c>
      <c r="C11" s="44" t="s">
        <v>23</v>
      </c>
      <c r="D11" s="44" t="s">
        <v>24</v>
      </c>
      <c r="E11" s="44" t="s">
        <v>25</v>
      </c>
      <c r="F11" s="44" t="s">
        <v>26</v>
      </c>
      <c r="G11" s="44" t="s">
        <v>27</v>
      </c>
      <c r="H11" s="44" t="s">
        <v>28</v>
      </c>
      <c r="I11" s="44" t="s">
        <v>29</v>
      </c>
      <c r="J11" s="44" t="s">
        <v>30</v>
      </c>
      <c r="K11" s="44" t="s">
        <v>31</v>
      </c>
      <c r="L11" s="44" t="s">
        <v>32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</row>
    <row r="12" ht="19.5" customHeight="1">
      <c r="A12" s="46" t="s">
        <v>50</v>
      </c>
      <c r="B12" s="47" t="s">
        <v>51</v>
      </c>
      <c r="C12" s="48"/>
      <c r="D12" s="48"/>
      <c r="E12" s="48"/>
      <c r="F12" s="49">
        <f>IFERROR(MINIFS(F13:F18,J13:J18,"&lt;&gt;삭제"),"")</f>
        <v>46168</v>
      </c>
      <c r="G12" s="49">
        <f>IFERROR(MAXIFS(G13:G18,J13:J18,"&lt;&gt;삭제"),"")</f>
        <v>46178</v>
      </c>
      <c r="H12" s="50">
        <f t="shared" ref="H12:H54" si="1">IFERROR(G12-F12+1,"")</f>
        <v>11</v>
      </c>
      <c r="I12" s="51">
        <f>IFERROR((IF(J14&lt;&gt;"삭제",I14,0)+IF(J15&lt;&gt;"삭제",I15,0)+IF(J16&lt;&gt;"삭제",I16,0)+IF(J17&lt;&gt;"삭제",I17,0)+IF(J18&lt;&gt;"삭제",I18,0))/(IF(J14&lt;&gt;"삭제",1,0)+IF(J15&lt;&gt;"삭제",1,0)+IF(J16&lt;&gt;"삭제",1,0)+IF(J17&lt;&gt;"삭제",1,0)+IF(J18&lt;&gt;"삭제",1,0)),0)</f>
        <v>1</v>
      </c>
      <c r="J12" s="50"/>
      <c r="K12" s="52"/>
      <c r="L12" s="53"/>
      <c r="M12" s="54"/>
      <c r="N12" s="27"/>
      <c r="O12" s="27"/>
      <c r="P12" s="27"/>
      <c r="Q12" s="27"/>
      <c r="R12" s="27"/>
      <c r="S12" s="55"/>
      <c r="T12" s="55"/>
      <c r="U12" s="27"/>
      <c r="V12" s="27"/>
      <c r="W12" s="27"/>
      <c r="X12" s="27"/>
      <c r="Y12" s="27"/>
      <c r="Z12" s="56"/>
      <c r="AA12" s="55"/>
      <c r="AB12" s="27"/>
      <c r="AC12" s="27"/>
      <c r="AD12" s="27"/>
      <c r="AE12" s="27"/>
      <c r="AF12" s="27"/>
      <c r="AG12" s="55"/>
      <c r="AH12" s="55"/>
      <c r="AI12" s="27"/>
      <c r="AJ12" s="27"/>
      <c r="AK12" s="27"/>
      <c r="AL12" s="27"/>
      <c r="AM12" s="27"/>
      <c r="AN12" s="55"/>
      <c r="AO12" s="55"/>
      <c r="AP12" s="27"/>
      <c r="AQ12" s="27"/>
      <c r="AR12" s="27"/>
      <c r="AS12" s="27"/>
      <c r="AT12" s="27"/>
      <c r="AU12" s="55"/>
      <c r="AV12" s="55"/>
      <c r="AW12" s="27"/>
      <c r="AX12" s="27"/>
      <c r="AY12" s="27"/>
      <c r="AZ12" s="27"/>
      <c r="BA12" s="27"/>
      <c r="BB12" s="55"/>
      <c r="BC12" s="55"/>
      <c r="BD12" s="27"/>
      <c r="BE12" s="27"/>
      <c r="BF12" s="27"/>
      <c r="BG12" s="27"/>
      <c r="BH12" s="27"/>
      <c r="BI12" s="55"/>
      <c r="BJ12" s="55"/>
      <c r="BK12" s="27"/>
      <c r="BL12" s="27"/>
      <c r="BM12" s="27"/>
      <c r="BN12" s="27"/>
      <c r="BO12" s="27"/>
      <c r="BP12" s="55"/>
      <c r="BQ12" s="55"/>
      <c r="BR12" s="27"/>
      <c r="BS12" s="27"/>
      <c r="BT12" s="27"/>
      <c r="BU12" s="27"/>
      <c r="BV12" s="27"/>
      <c r="BW12" s="55"/>
      <c r="BX12" s="55"/>
      <c r="BY12" s="27"/>
      <c r="BZ12" s="27"/>
      <c r="CA12" s="27"/>
      <c r="CB12" s="27"/>
      <c r="CC12" s="27"/>
      <c r="CD12" s="55"/>
      <c r="CE12" s="55"/>
      <c r="CF12" s="27"/>
      <c r="CG12" s="27"/>
      <c r="CH12" s="27"/>
      <c r="CI12" s="27"/>
      <c r="CJ12" s="27"/>
      <c r="CK12" s="55"/>
      <c r="CL12" s="55"/>
      <c r="CM12" s="27"/>
      <c r="CN12" s="27"/>
      <c r="CO12" s="27"/>
      <c r="CP12" s="27"/>
      <c r="CQ12" s="27"/>
      <c r="CR12" s="56"/>
      <c r="CS12" s="55"/>
      <c r="CT12" s="27"/>
      <c r="CU12" s="27"/>
      <c r="CV12" s="27"/>
      <c r="CW12" s="27"/>
      <c r="CX12" s="27"/>
    </row>
    <row r="13" ht="19.5" customHeight="1" outlineLevel="1">
      <c r="A13" s="57" t="s">
        <v>52</v>
      </c>
      <c r="B13" s="58" t="s">
        <v>53</v>
      </c>
      <c r="C13" s="59" t="s">
        <v>11</v>
      </c>
      <c r="D13" s="59" t="s">
        <v>54</v>
      </c>
      <c r="E13" s="60" t="s">
        <v>55</v>
      </c>
      <c r="F13" s="61">
        <f>IFERROR(MINIFS(F14:F15,J14:J15,"&lt;&gt;삭제"),"")</f>
        <v>46168</v>
      </c>
      <c r="G13" s="61">
        <f>IFERROR(MAXIFS(G14:G15,J14:J15,"&lt;&gt;삭제"),"")</f>
        <v>46172</v>
      </c>
      <c r="H13" s="62">
        <f t="shared" si="1"/>
        <v>5</v>
      </c>
      <c r="I13" s="63">
        <f>IFERROR((IF(J14&lt;&gt;"삭제",I14,0)+IF(J15&lt;&gt;"삭제",I15,0))/(IF(J14&lt;&gt;"삭제",1,0)+IF(J15&lt;&gt;"삭제",1,0)),0)</f>
        <v>1</v>
      </c>
      <c r="J13" s="64" t="s">
        <v>13</v>
      </c>
      <c r="K13" s="65" t="str">
        <f t="shared" ref="K13:K18" si="2">IF(AND(G13&lt;&gt;"",G13&lt;$F$3,J13&lt;&gt;"완료",J13&lt;&gt;"삭제",J13&lt;&gt;""),"⚠ 마감 초과",IF(AND(G13&lt;&gt;"",G13&gt;$F$3,J13="완료"),"⚡ 미래 날짜 완료 이상",""))</f>
        <v/>
      </c>
      <c r="L13" s="66"/>
      <c r="M13" s="16"/>
      <c r="N13" s="67"/>
      <c r="O13" s="67"/>
      <c r="P13" s="67"/>
      <c r="Q13" s="67"/>
      <c r="R13" s="67"/>
      <c r="S13" s="55"/>
      <c r="T13" s="55"/>
      <c r="U13" s="67"/>
      <c r="V13" s="67"/>
      <c r="W13" s="67"/>
      <c r="X13" s="67"/>
      <c r="Y13" s="67"/>
      <c r="Z13" s="56"/>
      <c r="AA13" s="55"/>
      <c r="AB13" s="67"/>
      <c r="AC13" s="67"/>
      <c r="AD13" s="67"/>
      <c r="AE13" s="67"/>
      <c r="AF13" s="67"/>
      <c r="AG13" s="55"/>
      <c r="AH13" s="55"/>
      <c r="AI13" s="67"/>
      <c r="AJ13" s="67"/>
      <c r="AK13" s="67"/>
      <c r="AL13" s="67"/>
      <c r="AM13" s="67"/>
      <c r="AN13" s="55"/>
      <c r="AO13" s="55"/>
      <c r="AP13" s="67"/>
      <c r="AQ13" s="67"/>
      <c r="AR13" s="67"/>
      <c r="AS13" s="67"/>
      <c r="AT13" s="67"/>
      <c r="AU13" s="55"/>
      <c r="AV13" s="55"/>
      <c r="AW13" s="67"/>
      <c r="AX13" s="67"/>
      <c r="AY13" s="67"/>
      <c r="AZ13" s="67"/>
      <c r="BA13" s="67"/>
      <c r="BB13" s="55"/>
      <c r="BC13" s="55"/>
      <c r="BD13" s="67"/>
      <c r="BE13" s="67"/>
      <c r="BF13" s="67"/>
      <c r="BG13" s="67"/>
      <c r="BH13" s="67"/>
      <c r="BI13" s="55"/>
      <c r="BJ13" s="55"/>
      <c r="BK13" s="67"/>
      <c r="BL13" s="67"/>
      <c r="BM13" s="67"/>
      <c r="BN13" s="67"/>
      <c r="BO13" s="67"/>
      <c r="BP13" s="55"/>
      <c r="BQ13" s="55"/>
      <c r="BR13" s="67"/>
      <c r="BS13" s="67"/>
      <c r="BT13" s="67"/>
      <c r="BU13" s="67"/>
      <c r="BV13" s="67"/>
      <c r="BW13" s="55"/>
      <c r="BX13" s="55"/>
      <c r="BY13" s="67"/>
      <c r="BZ13" s="67"/>
      <c r="CA13" s="67"/>
      <c r="CB13" s="67"/>
      <c r="CC13" s="67"/>
      <c r="CD13" s="55"/>
      <c r="CE13" s="55"/>
      <c r="CF13" s="67"/>
      <c r="CG13" s="67"/>
      <c r="CH13" s="67"/>
      <c r="CI13" s="67"/>
      <c r="CJ13" s="67"/>
      <c r="CK13" s="55"/>
      <c r="CL13" s="55"/>
      <c r="CM13" s="67"/>
      <c r="CN13" s="67"/>
      <c r="CO13" s="67"/>
      <c r="CP13" s="67"/>
      <c r="CQ13" s="67"/>
      <c r="CR13" s="56"/>
      <c r="CS13" s="55"/>
      <c r="CT13" s="67"/>
      <c r="CU13" s="67"/>
      <c r="CV13" s="67"/>
      <c r="CW13" s="67"/>
      <c r="CX13" s="67"/>
    </row>
    <row r="14" ht="19.5" customHeight="1" outlineLevel="2">
      <c r="A14" s="68" t="s">
        <v>56</v>
      </c>
      <c r="B14" s="69" t="s">
        <v>57</v>
      </c>
      <c r="C14" s="59" t="s">
        <v>11</v>
      </c>
      <c r="D14" s="59" t="s">
        <v>54</v>
      </c>
      <c r="E14" s="60" t="s">
        <v>55</v>
      </c>
      <c r="F14" s="70">
        <v>46168.0</v>
      </c>
      <c r="G14" s="70">
        <v>46170.0</v>
      </c>
      <c r="H14" s="71">
        <f t="shared" si="1"/>
        <v>3</v>
      </c>
      <c r="I14" s="72">
        <f t="shared" ref="I14:I18" si="3">IF(J14="삭제",0,IF(J14="완료",1,IFERROR(MIN(0.99,MAX(0,($F$3-F14)/(G14-F14))),0)))</f>
        <v>1</v>
      </c>
      <c r="J14" s="73" t="s">
        <v>13</v>
      </c>
      <c r="K14" s="65" t="str">
        <f t="shared" si="2"/>
        <v/>
      </c>
      <c r="L14" s="66"/>
      <c r="M14" s="16"/>
      <c r="N14" s="67"/>
      <c r="O14" s="67"/>
      <c r="P14" s="67"/>
      <c r="Q14" s="67"/>
      <c r="R14" s="67"/>
      <c r="S14" s="55"/>
      <c r="T14" s="55"/>
      <c r="U14" s="67"/>
      <c r="V14" s="67"/>
      <c r="W14" s="67"/>
      <c r="X14" s="67"/>
      <c r="Y14" s="67"/>
      <c r="Z14" s="56"/>
      <c r="AA14" s="55"/>
      <c r="AB14" s="67"/>
      <c r="AC14" s="67"/>
      <c r="AD14" s="67"/>
      <c r="AE14" s="67"/>
      <c r="AF14" s="67"/>
      <c r="AG14" s="55"/>
      <c r="AH14" s="55"/>
      <c r="AI14" s="67"/>
      <c r="AJ14" s="67"/>
      <c r="AK14" s="67"/>
      <c r="AL14" s="67"/>
      <c r="AM14" s="67"/>
      <c r="AN14" s="55"/>
      <c r="AO14" s="55"/>
      <c r="AP14" s="67"/>
      <c r="AQ14" s="67"/>
      <c r="AR14" s="67"/>
      <c r="AS14" s="67"/>
      <c r="AT14" s="67"/>
      <c r="AU14" s="55"/>
      <c r="AV14" s="55"/>
      <c r="AW14" s="67"/>
      <c r="AX14" s="67"/>
      <c r="AY14" s="67"/>
      <c r="AZ14" s="67"/>
      <c r="BA14" s="67"/>
      <c r="BB14" s="55"/>
      <c r="BC14" s="55"/>
      <c r="BD14" s="67"/>
      <c r="BE14" s="67"/>
      <c r="BF14" s="67"/>
      <c r="BG14" s="67"/>
      <c r="BH14" s="67"/>
      <c r="BI14" s="55"/>
      <c r="BJ14" s="55"/>
      <c r="BK14" s="67"/>
      <c r="BL14" s="67"/>
      <c r="BM14" s="67"/>
      <c r="BN14" s="67"/>
      <c r="BO14" s="67"/>
      <c r="BP14" s="55"/>
      <c r="BQ14" s="55"/>
      <c r="BR14" s="67"/>
      <c r="BS14" s="67"/>
      <c r="BT14" s="67"/>
      <c r="BU14" s="67"/>
      <c r="BV14" s="67"/>
      <c r="BW14" s="55"/>
      <c r="BX14" s="55"/>
      <c r="BY14" s="67"/>
      <c r="BZ14" s="67"/>
      <c r="CA14" s="67"/>
      <c r="CB14" s="67"/>
      <c r="CC14" s="67"/>
      <c r="CD14" s="55"/>
      <c r="CE14" s="55"/>
      <c r="CF14" s="67"/>
      <c r="CG14" s="67"/>
      <c r="CH14" s="67"/>
      <c r="CI14" s="67"/>
      <c r="CJ14" s="67"/>
      <c r="CK14" s="55"/>
      <c r="CL14" s="55"/>
      <c r="CM14" s="67"/>
      <c r="CN14" s="67"/>
      <c r="CO14" s="67"/>
      <c r="CP14" s="67"/>
      <c r="CQ14" s="67"/>
      <c r="CR14" s="56"/>
      <c r="CS14" s="55"/>
      <c r="CT14" s="67"/>
      <c r="CU14" s="67"/>
      <c r="CV14" s="67"/>
      <c r="CW14" s="67"/>
      <c r="CX14" s="67"/>
    </row>
    <row r="15" ht="19.5" customHeight="1" outlineLevel="2">
      <c r="A15" s="68" t="s">
        <v>58</v>
      </c>
      <c r="B15" s="69" t="s">
        <v>59</v>
      </c>
      <c r="C15" s="59" t="s">
        <v>11</v>
      </c>
      <c r="D15" s="59" t="s">
        <v>54</v>
      </c>
      <c r="E15" s="60" t="s">
        <v>55</v>
      </c>
      <c r="F15" s="70">
        <v>46170.0</v>
      </c>
      <c r="G15" s="70">
        <v>46172.0</v>
      </c>
      <c r="H15" s="71">
        <f t="shared" si="1"/>
        <v>3</v>
      </c>
      <c r="I15" s="72">
        <f t="shared" si="3"/>
        <v>1</v>
      </c>
      <c r="J15" s="73" t="s">
        <v>13</v>
      </c>
      <c r="K15" s="65" t="str">
        <f t="shared" si="2"/>
        <v/>
      </c>
      <c r="L15" s="66"/>
      <c r="M15" s="16"/>
      <c r="N15" s="67"/>
      <c r="O15" s="67"/>
      <c r="P15" s="67"/>
      <c r="Q15" s="67"/>
      <c r="R15" s="67"/>
      <c r="S15" s="55"/>
      <c r="T15" s="55"/>
      <c r="U15" s="67"/>
      <c r="V15" s="67"/>
      <c r="W15" s="67"/>
      <c r="X15" s="67"/>
      <c r="Y15" s="67"/>
      <c r="Z15" s="56"/>
      <c r="AA15" s="55"/>
      <c r="AB15" s="67"/>
      <c r="AC15" s="67"/>
      <c r="AD15" s="67"/>
      <c r="AE15" s="67"/>
      <c r="AF15" s="67"/>
      <c r="AG15" s="55"/>
      <c r="AH15" s="55"/>
      <c r="AI15" s="67"/>
      <c r="AJ15" s="67"/>
      <c r="AK15" s="67"/>
      <c r="AL15" s="67"/>
      <c r="AM15" s="67"/>
      <c r="AN15" s="55"/>
      <c r="AO15" s="55"/>
      <c r="AP15" s="67"/>
      <c r="AQ15" s="67"/>
      <c r="AR15" s="67"/>
      <c r="AS15" s="67"/>
      <c r="AT15" s="67"/>
      <c r="AU15" s="55"/>
      <c r="AV15" s="55"/>
      <c r="AW15" s="67"/>
      <c r="AX15" s="67"/>
      <c r="AY15" s="67"/>
      <c r="AZ15" s="67"/>
      <c r="BA15" s="67"/>
      <c r="BB15" s="55"/>
      <c r="BC15" s="55"/>
      <c r="BD15" s="67"/>
      <c r="BE15" s="67"/>
      <c r="BF15" s="67"/>
      <c r="BG15" s="67"/>
      <c r="BH15" s="67"/>
      <c r="BI15" s="55"/>
      <c r="BJ15" s="55"/>
      <c r="BK15" s="67"/>
      <c r="BL15" s="67"/>
      <c r="BM15" s="67"/>
      <c r="BN15" s="67"/>
      <c r="BO15" s="67"/>
      <c r="BP15" s="55"/>
      <c r="BQ15" s="55"/>
      <c r="BR15" s="67"/>
      <c r="BS15" s="67"/>
      <c r="BT15" s="67"/>
      <c r="BU15" s="67"/>
      <c r="BV15" s="67"/>
      <c r="BW15" s="55"/>
      <c r="BX15" s="55"/>
      <c r="BY15" s="67"/>
      <c r="BZ15" s="67"/>
      <c r="CA15" s="67"/>
      <c r="CB15" s="67"/>
      <c r="CC15" s="67"/>
      <c r="CD15" s="55"/>
      <c r="CE15" s="55"/>
      <c r="CF15" s="67"/>
      <c r="CG15" s="67"/>
      <c r="CH15" s="67"/>
      <c r="CI15" s="67"/>
      <c r="CJ15" s="67"/>
      <c r="CK15" s="55"/>
      <c r="CL15" s="55"/>
      <c r="CM15" s="67"/>
      <c r="CN15" s="67"/>
      <c r="CO15" s="67"/>
      <c r="CP15" s="67"/>
      <c r="CQ15" s="67"/>
      <c r="CR15" s="56"/>
      <c r="CS15" s="55"/>
      <c r="CT15" s="67"/>
      <c r="CU15" s="67"/>
      <c r="CV15" s="67"/>
      <c r="CW15" s="67"/>
      <c r="CX15" s="67"/>
    </row>
    <row r="16" ht="19.5" customHeight="1" outlineLevel="1">
      <c r="A16" s="57" t="s">
        <v>60</v>
      </c>
      <c r="B16" s="58" t="s">
        <v>61</v>
      </c>
      <c r="C16" s="59" t="s">
        <v>62</v>
      </c>
      <c r="D16" s="59" t="s">
        <v>63</v>
      </c>
      <c r="E16" s="60" t="s">
        <v>64</v>
      </c>
      <c r="F16" s="61">
        <v>46171.0</v>
      </c>
      <c r="G16" s="61">
        <v>46177.0</v>
      </c>
      <c r="H16" s="62">
        <f t="shared" si="1"/>
        <v>7</v>
      </c>
      <c r="I16" s="63">
        <f t="shared" si="3"/>
        <v>1</v>
      </c>
      <c r="J16" s="64" t="s">
        <v>13</v>
      </c>
      <c r="K16" s="65" t="str">
        <f t="shared" si="2"/>
        <v/>
      </c>
      <c r="L16" s="66"/>
      <c r="M16" s="16"/>
      <c r="N16" s="67"/>
      <c r="O16" s="67"/>
      <c r="P16" s="67"/>
      <c r="Q16" s="67"/>
      <c r="R16" s="67"/>
      <c r="S16" s="55"/>
      <c r="T16" s="55"/>
      <c r="U16" s="67"/>
      <c r="V16" s="67"/>
      <c r="W16" s="67"/>
      <c r="X16" s="67"/>
      <c r="Y16" s="67"/>
      <c r="Z16" s="56"/>
      <c r="AA16" s="55"/>
      <c r="AB16" s="67"/>
      <c r="AC16" s="67"/>
      <c r="AD16" s="67"/>
      <c r="AE16" s="67"/>
      <c r="AF16" s="67"/>
      <c r="AG16" s="55"/>
      <c r="AH16" s="55"/>
      <c r="AI16" s="67"/>
      <c r="AJ16" s="67"/>
      <c r="AK16" s="67"/>
      <c r="AL16" s="67"/>
      <c r="AM16" s="67"/>
      <c r="AN16" s="55"/>
      <c r="AO16" s="55"/>
      <c r="AP16" s="67"/>
      <c r="AQ16" s="67"/>
      <c r="AR16" s="67"/>
      <c r="AS16" s="67"/>
      <c r="AT16" s="67"/>
      <c r="AU16" s="55"/>
      <c r="AV16" s="55"/>
      <c r="AW16" s="67"/>
      <c r="AX16" s="67"/>
      <c r="AY16" s="67"/>
      <c r="AZ16" s="67"/>
      <c r="BA16" s="67"/>
      <c r="BB16" s="55"/>
      <c r="BC16" s="55"/>
      <c r="BD16" s="67"/>
      <c r="BE16" s="67"/>
      <c r="BF16" s="67"/>
      <c r="BG16" s="67"/>
      <c r="BH16" s="67"/>
      <c r="BI16" s="55"/>
      <c r="BJ16" s="55"/>
      <c r="BK16" s="67"/>
      <c r="BL16" s="67"/>
      <c r="BM16" s="67"/>
      <c r="BN16" s="67"/>
      <c r="BO16" s="67"/>
      <c r="BP16" s="55"/>
      <c r="BQ16" s="55"/>
      <c r="BR16" s="67"/>
      <c r="BS16" s="67"/>
      <c r="BT16" s="67"/>
      <c r="BU16" s="67"/>
      <c r="BV16" s="67"/>
      <c r="BW16" s="55"/>
      <c r="BX16" s="55"/>
      <c r="BY16" s="67"/>
      <c r="BZ16" s="67"/>
      <c r="CA16" s="67"/>
      <c r="CB16" s="67"/>
      <c r="CC16" s="67"/>
      <c r="CD16" s="55"/>
      <c r="CE16" s="55"/>
      <c r="CF16" s="67"/>
      <c r="CG16" s="67"/>
      <c r="CH16" s="67"/>
      <c r="CI16" s="67"/>
      <c r="CJ16" s="67"/>
      <c r="CK16" s="55"/>
      <c r="CL16" s="55"/>
      <c r="CM16" s="67"/>
      <c r="CN16" s="67"/>
      <c r="CO16" s="67"/>
      <c r="CP16" s="67"/>
      <c r="CQ16" s="67"/>
      <c r="CR16" s="56"/>
      <c r="CS16" s="55"/>
      <c r="CT16" s="67"/>
      <c r="CU16" s="67"/>
      <c r="CV16" s="67"/>
      <c r="CW16" s="67"/>
      <c r="CX16" s="67"/>
    </row>
    <row r="17" ht="19.5" customHeight="1" outlineLevel="1">
      <c r="A17" s="57" t="s">
        <v>65</v>
      </c>
      <c r="B17" s="58" t="s">
        <v>66</v>
      </c>
      <c r="C17" s="59" t="s">
        <v>62</v>
      </c>
      <c r="D17" s="59" t="s">
        <v>63</v>
      </c>
      <c r="E17" s="60" t="s">
        <v>64</v>
      </c>
      <c r="F17" s="61">
        <v>46173.0</v>
      </c>
      <c r="G17" s="61">
        <v>46177.0</v>
      </c>
      <c r="H17" s="62">
        <f t="shared" si="1"/>
        <v>5</v>
      </c>
      <c r="I17" s="63">
        <f t="shared" si="3"/>
        <v>1</v>
      </c>
      <c r="J17" s="64" t="s">
        <v>13</v>
      </c>
      <c r="K17" s="65" t="str">
        <f t="shared" si="2"/>
        <v/>
      </c>
      <c r="L17" s="66"/>
      <c r="M17" s="16"/>
      <c r="N17" s="67"/>
      <c r="O17" s="67"/>
      <c r="P17" s="67"/>
      <c r="Q17" s="67"/>
      <c r="R17" s="67"/>
      <c r="S17" s="55"/>
      <c r="T17" s="55"/>
      <c r="U17" s="67"/>
      <c r="V17" s="67"/>
      <c r="W17" s="67"/>
      <c r="X17" s="67"/>
      <c r="Y17" s="67"/>
      <c r="Z17" s="56"/>
      <c r="AA17" s="55"/>
      <c r="AB17" s="67"/>
      <c r="AC17" s="67"/>
      <c r="AD17" s="67"/>
      <c r="AE17" s="67"/>
      <c r="AF17" s="67"/>
      <c r="AG17" s="55"/>
      <c r="AH17" s="55"/>
      <c r="AI17" s="67"/>
      <c r="AJ17" s="67"/>
      <c r="AK17" s="67"/>
      <c r="AL17" s="67"/>
      <c r="AM17" s="67"/>
      <c r="AN17" s="55"/>
      <c r="AO17" s="55"/>
      <c r="AP17" s="67"/>
      <c r="AQ17" s="67"/>
      <c r="AR17" s="67"/>
      <c r="AS17" s="67"/>
      <c r="AT17" s="67"/>
      <c r="AU17" s="55"/>
      <c r="AV17" s="55"/>
      <c r="AW17" s="67"/>
      <c r="AX17" s="67"/>
      <c r="AY17" s="67"/>
      <c r="AZ17" s="67"/>
      <c r="BA17" s="67"/>
      <c r="BB17" s="55"/>
      <c r="BC17" s="55"/>
      <c r="BD17" s="67"/>
      <c r="BE17" s="67"/>
      <c r="BF17" s="67"/>
      <c r="BG17" s="67"/>
      <c r="BH17" s="67"/>
      <c r="BI17" s="55"/>
      <c r="BJ17" s="55"/>
      <c r="BK17" s="67"/>
      <c r="BL17" s="67"/>
      <c r="BM17" s="67"/>
      <c r="BN17" s="67"/>
      <c r="BO17" s="67"/>
      <c r="BP17" s="55"/>
      <c r="BQ17" s="55"/>
      <c r="BR17" s="67"/>
      <c r="BS17" s="67"/>
      <c r="BT17" s="67"/>
      <c r="BU17" s="67"/>
      <c r="BV17" s="67"/>
      <c r="BW17" s="55"/>
      <c r="BX17" s="55"/>
      <c r="BY17" s="67"/>
      <c r="BZ17" s="67"/>
      <c r="CA17" s="67"/>
      <c r="CB17" s="67"/>
      <c r="CC17" s="67"/>
      <c r="CD17" s="55"/>
      <c r="CE17" s="55"/>
      <c r="CF17" s="67"/>
      <c r="CG17" s="67"/>
      <c r="CH17" s="67"/>
      <c r="CI17" s="67"/>
      <c r="CJ17" s="67"/>
      <c r="CK17" s="55"/>
      <c r="CL17" s="55"/>
      <c r="CM17" s="67"/>
      <c r="CN17" s="67"/>
      <c r="CO17" s="67"/>
      <c r="CP17" s="67"/>
      <c r="CQ17" s="67"/>
      <c r="CR17" s="56"/>
      <c r="CS17" s="55"/>
      <c r="CT17" s="67"/>
      <c r="CU17" s="67"/>
      <c r="CV17" s="67"/>
      <c r="CW17" s="67"/>
      <c r="CX17" s="67"/>
    </row>
    <row r="18" ht="19.5" customHeight="1" outlineLevel="1">
      <c r="A18" s="57" t="s">
        <v>67</v>
      </c>
      <c r="B18" s="58" t="s">
        <v>68</v>
      </c>
      <c r="C18" s="59" t="s">
        <v>69</v>
      </c>
      <c r="D18" s="59" t="s">
        <v>54</v>
      </c>
      <c r="E18" s="60" t="s">
        <v>55</v>
      </c>
      <c r="F18" s="61">
        <v>46178.0</v>
      </c>
      <c r="G18" s="61">
        <v>46178.0</v>
      </c>
      <c r="H18" s="62">
        <f t="shared" si="1"/>
        <v>1</v>
      </c>
      <c r="I18" s="63">
        <f t="shared" si="3"/>
        <v>1</v>
      </c>
      <c r="J18" s="64" t="s">
        <v>13</v>
      </c>
      <c r="K18" s="65" t="str">
        <f t="shared" si="2"/>
        <v/>
      </c>
      <c r="L18" s="66"/>
      <c r="M18" s="16"/>
      <c r="N18" s="67"/>
      <c r="O18" s="67"/>
      <c r="P18" s="67"/>
      <c r="Q18" s="67"/>
      <c r="R18" s="67"/>
      <c r="S18" s="55"/>
      <c r="T18" s="55"/>
      <c r="U18" s="67"/>
      <c r="V18" s="67"/>
      <c r="W18" s="67"/>
      <c r="X18" s="67"/>
      <c r="Y18" s="67"/>
      <c r="Z18" s="56"/>
      <c r="AA18" s="55"/>
      <c r="AB18" s="67"/>
      <c r="AC18" s="67"/>
      <c r="AD18" s="67"/>
      <c r="AE18" s="67"/>
      <c r="AF18" s="67"/>
      <c r="AG18" s="55"/>
      <c r="AH18" s="55"/>
      <c r="AI18" s="67"/>
      <c r="AJ18" s="67"/>
      <c r="AK18" s="67"/>
      <c r="AL18" s="67"/>
      <c r="AM18" s="67"/>
      <c r="AN18" s="55"/>
      <c r="AO18" s="55"/>
      <c r="AP18" s="67"/>
      <c r="AQ18" s="67"/>
      <c r="AR18" s="67"/>
      <c r="AS18" s="67"/>
      <c r="AT18" s="67"/>
      <c r="AU18" s="55"/>
      <c r="AV18" s="55"/>
      <c r="AW18" s="67"/>
      <c r="AX18" s="67"/>
      <c r="AY18" s="67"/>
      <c r="AZ18" s="67"/>
      <c r="BA18" s="67"/>
      <c r="BB18" s="55"/>
      <c r="BC18" s="55"/>
      <c r="BD18" s="67"/>
      <c r="BE18" s="67"/>
      <c r="BF18" s="67"/>
      <c r="BG18" s="67"/>
      <c r="BH18" s="67"/>
      <c r="BI18" s="55"/>
      <c r="BJ18" s="55"/>
      <c r="BK18" s="67"/>
      <c r="BL18" s="67"/>
      <c r="BM18" s="67"/>
      <c r="BN18" s="67"/>
      <c r="BO18" s="67"/>
      <c r="BP18" s="55"/>
      <c r="BQ18" s="55"/>
      <c r="BR18" s="67"/>
      <c r="BS18" s="67"/>
      <c r="BT18" s="67"/>
      <c r="BU18" s="67"/>
      <c r="BV18" s="67"/>
      <c r="BW18" s="55"/>
      <c r="BX18" s="55"/>
      <c r="BY18" s="67"/>
      <c r="BZ18" s="67"/>
      <c r="CA18" s="67"/>
      <c r="CB18" s="67"/>
      <c r="CC18" s="67"/>
      <c r="CD18" s="55"/>
      <c r="CE18" s="55"/>
      <c r="CF18" s="67"/>
      <c r="CG18" s="67"/>
      <c r="CH18" s="67"/>
      <c r="CI18" s="67"/>
      <c r="CJ18" s="67"/>
      <c r="CK18" s="55"/>
      <c r="CL18" s="55"/>
      <c r="CM18" s="67"/>
      <c r="CN18" s="67"/>
      <c r="CO18" s="67"/>
      <c r="CP18" s="67"/>
      <c r="CQ18" s="67"/>
      <c r="CR18" s="56"/>
      <c r="CS18" s="55"/>
      <c r="CT18" s="67"/>
      <c r="CU18" s="67"/>
      <c r="CV18" s="67"/>
      <c r="CW18" s="67"/>
      <c r="CX18" s="67"/>
    </row>
    <row r="19" ht="19.5" customHeight="1">
      <c r="A19" s="46" t="s">
        <v>70</v>
      </c>
      <c r="B19" s="47" t="s">
        <v>62</v>
      </c>
      <c r="C19" s="48"/>
      <c r="D19" s="48"/>
      <c r="E19" s="48"/>
      <c r="F19" s="49">
        <f>IFERROR(MINIFS(F20:F33,J20:J33,"&lt;&gt;삭제"),"")</f>
        <v>46179</v>
      </c>
      <c r="G19" s="49">
        <f>IFERROR(MAXIFS(G20:G33,J20:J33,"&lt;&gt;삭제"),"")</f>
        <v>46223</v>
      </c>
      <c r="H19" s="50">
        <f t="shared" si="1"/>
        <v>45</v>
      </c>
      <c r="I19" s="51">
        <f>IFERROR((IF(J21&lt;&gt;"삭제",I21,0)+IF(J22&lt;&gt;"삭제",I22,0)+IF(J23&lt;&gt;"삭제",I23,0)+IF(J24&lt;&gt;"삭제",I24,0)+IF(J25&lt;&gt;"삭제",I25,0)+IF(J26&lt;&gt;"삭제",I26,0)+IF(J28&lt;&gt;"삭제",I28,0)+IF(J29&lt;&gt;"삭제",I29,0)+IF(J30&lt;&gt;"삭제",I30,0)+IF(J31&lt;&gt;"삭제",I31,0)+IF(J32&lt;&gt;"삭제",I32,0)+IF(J33&lt;&gt;"삭제",I33,0))/(IF(J21&lt;&gt;"삭제",1,0)+IF(J22&lt;&gt;"삭제",1,0)+IF(J23&lt;&gt;"삭제",1,0)+IF(J24&lt;&gt;"삭제",1,0)+IF(J25&lt;&gt;"삭제",1,0)+IF(J26&lt;&gt;"삭제",1,0)+IF(J28&lt;&gt;"삭제",1,0)+IF(J29&lt;&gt;"삭제",1,0)+IF(J30&lt;&gt;"삭제",1,0)+IF(J31&lt;&gt;"삭제",1,0)+IF(J32&lt;&gt;"삭제",1,0)+IF(J33&lt;&gt;"삭제",1,0)),0)</f>
        <v>0.5546464646</v>
      </c>
      <c r="J19" s="50"/>
      <c r="K19" s="52"/>
      <c r="L19" s="53"/>
      <c r="M19" s="54"/>
      <c r="N19" s="27"/>
      <c r="O19" s="27"/>
      <c r="P19" s="27"/>
      <c r="Q19" s="27"/>
      <c r="R19" s="27"/>
      <c r="S19" s="55"/>
      <c r="T19" s="55"/>
      <c r="U19" s="27"/>
      <c r="V19" s="27"/>
      <c r="W19" s="27"/>
      <c r="X19" s="27"/>
      <c r="Y19" s="27"/>
      <c r="Z19" s="56"/>
      <c r="AA19" s="55"/>
      <c r="AB19" s="27"/>
      <c r="AC19" s="27"/>
      <c r="AD19" s="27"/>
      <c r="AE19" s="27"/>
      <c r="AF19" s="27"/>
      <c r="AG19" s="55"/>
      <c r="AH19" s="55"/>
      <c r="AI19" s="27"/>
      <c r="AJ19" s="27"/>
      <c r="AK19" s="27"/>
      <c r="AL19" s="27"/>
      <c r="AM19" s="27"/>
      <c r="AN19" s="55"/>
      <c r="AO19" s="55"/>
      <c r="AP19" s="27"/>
      <c r="AQ19" s="27"/>
      <c r="AR19" s="27"/>
      <c r="AS19" s="27"/>
      <c r="AT19" s="27"/>
      <c r="AU19" s="55"/>
      <c r="AV19" s="55"/>
      <c r="AW19" s="27"/>
      <c r="AX19" s="27"/>
      <c r="AY19" s="27"/>
      <c r="AZ19" s="27"/>
      <c r="BA19" s="27"/>
      <c r="BB19" s="55"/>
      <c r="BC19" s="55"/>
      <c r="BD19" s="27"/>
      <c r="BE19" s="27"/>
      <c r="BF19" s="27"/>
      <c r="BG19" s="27"/>
      <c r="BH19" s="27"/>
      <c r="BI19" s="55"/>
      <c r="BJ19" s="55"/>
      <c r="BK19" s="27"/>
      <c r="BL19" s="27"/>
      <c r="BM19" s="27"/>
      <c r="BN19" s="27"/>
      <c r="BO19" s="27"/>
      <c r="BP19" s="55"/>
      <c r="BQ19" s="55"/>
      <c r="BR19" s="27"/>
      <c r="BS19" s="27"/>
      <c r="BT19" s="27"/>
      <c r="BU19" s="27"/>
      <c r="BV19" s="27"/>
      <c r="BW19" s="55"/>
      <c r="BX19" s="55"/>
      <c r="BY19" s="27"/>
      <c r="BZ19" s="27"/>
      <c r="CA19" s="27"/>
      <c r="CB19" s="27"/>
      <c r="CC19" s="27"/>
      <c r="CD19" s="55"/>
      <c r="CE19" s="55"/>
      <c r="CF19" s="27"/>
      <c r="CG19" s="27"/>
      <c r="CH19" s="27"/>
      <c r="CI19" s="27"/>
      <c r="CJ19" s="27"/>
      <c r="CK19" s="55"/>
      <c r="CL19" s="55"/>
      <c r="CM19" s="27"/>
      <c r="CN19" s="27"/>
      <c r="CO19" s="27"/>
      <c r="CP19" s="27"/>
      <c r="CQ19" s="27"/>
      <c r="CR19" s="56"/>
      <c r="CS19" s="55"/>
      <c r="CT19" s="27"/>
      <c r="CU19" s="27"/>
      <c r="CV19" s="27"/>
      <c r="CW19" s="27"/>
      <c r="CX19" s="27"/>
    </row>
    <row r="20" ht="19.5" customHeight="1" outlineLevel="1">
      <c r="A20" s="57" t="s">
        <v>71</v>
      </c>
      <c r="B20" s="58" t="s">
        <v>72</v>
      </c>
      <c r="C20" s="59" t="s">
        <v>62</v>
      </c>
      <c r="D20" s="59" t="s">
        <v>63</v>
      </c>
      <c r="E20" s="60" t="s">
        <v>64</v>
      </c>
      <c r="F20" s="61">
        <f>IFERROR(MINIFS(F21:F26,J21:J26,"&lt;&gt;삭제"),"")</f>
        <v>46179</v>
      </c>
      <c r="G20" s="61">
        <f>IFERROR(MAXIFS(G21:G26,J21:J26,"&lt;&gt;삭제"),"")</f>
        <v>46196</v>
      </c>
      <c r="H20" s="62">
        <f t="shared" si="1"/>
        <v>18</v>
      </c>
      <c r="I20" s="63">
        <f>IFERROR((IF(J21&lt;&gt;"삭제",I21,0)+IF(J22&lt;&gt;"삭제",I22,0)+IF(J23&lt;&gt;"삭제",I23,0)+IF(J24&lt;&gt;"삭제",I24,0)+IF(J25&lt;&gt;"삭제",I25,0)+IF(J26&lt;&gt;"삭제",I26,0))/(IF(J21&lt;&gt;"삭제",1,0)+IF(J22&lt;&gt;"삭제",1,0)+IF(J23&lt;&gt;"삭제",1,0)+IF(J24&lt;&gt;"삭제",1,0)+IF(J25&lt;&gt;"삭제",1,0)+IF(J26&lt;&gt;"삭제",1,0)),0)</f>
        <v>0.8501851852</v>
      </c>
      <c r="J20" s="64" t="s">
        <v>73</v>
      </c>
      <c r="K20" s="65" t="str">
        <f t="shared" ref="K20:K33" si="4">IF(AND(G20&lt;&gt;"",G20&lt;$F$3,J20&lt;&gt;"완료",J20&lt;&gt;"삭제",J20&lt;&gt;""),"⚠ 마감 초과",IF(AND(G20&lt;&gt;"",G20&gt;$F$3,J20="완료"),"⚡ 미래 날짜 완료 이상",""))</f>
        <v/>
      </c>
      <c r="L20" s="66"/>
      <c r="M20" s="16"/>
      <c r="N20" s="67"/>
      <c r="O20" s="67"/>
      <c r="P20" s="67"/>
      <c r="Q20" s="67"/>
      <c r="R20" s="67"/>
      <c r="S20" s="55"/>
      <c r="T20" s="55"/>
      <c r="U20" s="67"/>
      <c r="V20" s="67"/>
      <c r="W20" s="67"/>
      <c r="X20" s="67"/>
      <c r="Y20" s="67"/>
      <c r="Z20" s="56"/>
      <c r="AA20" s="55"/>
      <c r="AB20" s="67"/>
      <c r="AC20" s="67"/>
      <c r="AD20" s="67"/>
      <c r="AE20" s="67"/>
      <c r="AF20" s="67"/>
      <c r="AG20" s="55"/>
      <c r="AH20" s="55"/>
      <c r="AI20" s="67"/>
      <c r="AJ20" s="67"/>
      <c r="AK20" s="67"/>
      <c r="AL20" s="67"/>
      <c r="AM20" s="67"/>
      <c r="AN20" s="55"/>
      <c r="AO20" s="55"/>
      <c r="AP20" s="67"/>
      <c r="AQ20" s="67"/>
      <c r="AR20" s="67"/>
      <c r="AS20" s="67"/>
      <c r="AT20" s="67"/>
      <c r="AU20" s="55"/>
      <c r="AV20" s="55"/>
      <c r="AW20" s="67"/>
      <c r="AX20" s="67"/>
      <c r="AY20" s="67"/>
      <c r="AZ20" s="67"/>
      <c r="BA20" s="67"/>
      <c r="BB20" s="55"/>
      <c r="BC20" s="55"/>
      <c r="BD20" s="67"/>
      <c r="BE20" s="67"/>
      <c r="BF20" s="67"/>
      <c r="BG20" s="67"/>
      <c r="BH20" s="67"/>
      <c r="BI20" s="55"/>
      <c r="BJ20" s="55"/>
      <c r="BK20" s="67"/>
      <c r="BL20" s="67"/>
      <c r="BM20" s="67"/>
      <c r="BN20" s="67"/>
      <c r="BO20" s="67"/>
      <c r="BP20" s="55"/>
      <c r="BQ20" s="55"/>
      <c r="BR20" s="67"/>
      <c r="BS20" s="67"/>
      <c r="BT20" s="67"/>
      <c r="BU20" s="67"/>
      <c r="BV20" s="67"/>
      <c r="BW20" s="55"/>
      <c r="BX20" s="55"/>
      <c r="BY20" s="67"/>
      <c r="BZ20" s="67"/>
      <c r="CA20" s="67"/>
      <c r="CB20" s="67"/>
      <c r="CC20" s="67"/>
      <c r="CD20" s="55"/>
      <c r="CE20" s="55"/>
      <c r="CF20" s="67"/>
      <c r="CG20" s="67"/>
      <c r="CH20" s="67"/>
      <c r="CI20" s="67"/>
      <c r="CJ20" s="67"/>
      <c r="CK20" s="55"/>
      <c r="CL20" s="55"/>
      <c r="CM20" s="67"/>
      <c r="CN20" s="67"/>
      <c r="CO20" s="67"/>
      <c r="CP20" s="67"/>
      <c r="CQ20" s="67"/>
      <c r="CR20" s="56"/>
      <c r="CS20" s="55"/>
      <c r="CT20" s="67"/>
      <c r="CU20" s="67"/>
      <c r="CV20" s="67"/>
      <c r="CW20" s="67"/>
      <c r="CX20" s="67"/>
    </row>
    <row r="21" ht="19.5" customHeight="1" outlineLevel="2">
      <c r="A21" s="68" t="s">
        <v>74</v>
      </c>
      <c r="B21" s="69" t="s">
        <v>75</v>
      </c>
      <c r="C21" s="59" t="s">
        <v>62</v>
      </c>
      <c r="D21" s="59" t="s">
        <v>63</v>
      </c>
      <c r="E21" s="60" t="s">
        <v>64</v>
      </c>
      <c r="F21" s="70">
        <v>46179.0</v>
      </c>
      <c r="G21" s="70">
        <v>46181.0</v>
      </c>
      <c r="H21" s="71">
        <f t="shared" si="1"/>
        <v>3</v>
      </c>
      <c r="I21" s="72">
        <f t="shared" ref="I21:I26" si="5">IF(J21="삭제",0,IF(J21="완료",1,IFERROR(MIN(0.99,MAX(0,($F$3-F21)/(G21-F21))),0)))</f>
        <v>1</v>
      </c>
      <c r="J21" s="73" t="s">
        <v>13</v>
      </c>
      <c r="K21" s="65" t="str">
        <f t="shared" si="4"/>
        <v/>
      </c>
      <c r="L21" s="66"/>
      <c r="M21" s="16"/>
      <c r="N21" s="67"/>
      <c r="O21" s="67"/>
      <c r="P21" s="67"/>
      <c r="Q21" s="67"/>
      <c r="R21" s="67"/>
      <c r="S21" s="55"/>
      <c r="T21" s="55"/>
      <c r="U21" s="67"/>
      <c r="V21" s="67"/>
      <c r="W21" s="67"/>
      <c r="X21" s="67"/>
      <c r="Y21" s="67"/>
      <c r="Z21" s="56"/>
      <c r="AA21" s="55"/>
      <c r="AB21" s="67"/>
      <c r="AC21" s="67"/>
      <c r="AD21" s="67"/>
      <c r="AE21" s="67"/>
      <c r="AF21" s="67"/>
      <c r="AG21" s="55"/>
      <c r="AH21" s="55"/>
      <c r="AI21" s="67"/>
      <c r="AJ21" s="67"/>
      <c r="AK21" s="67"/>
      <c r="AL21" s="67"/>
      <c r="AM21" s="67"/>
      <c r="AN21" s="55"/>
      <c r="AO21" s="55"/>
      <c r="AP21" s="67"/>
      <c r="AQ21" s="67"/>
      <c r="AR21" s="67"/>
      <c r="AS21" s="67"/>
      <c r="AT21" s="67"/>
      <c r="AU21" s="55"/>
      <c r="AV21" s="55"/>
      <c r="AW21" s="67"/>
      <c r="AX21" s="67"/>
      <c r="AY21" s="67"/>
      <c r="AZ21" s="67"/>
      <c r="BA21" s="67"/>
      <c r="BB21" s="55"/>
      <c r="BC21" s="55"/>
      <c r="BD21" s="67"/>
      <c r="BE21" s="67"/>
      <c r="BF21" s="67"/>
      <c r="BG21" s="67"/>
      <c r="BH21" s="67"/>
      <c r="BI21" s="55"/>
      <c r="BJ21" s="55"/>
      <c r="BK21" s="67"/>
      <c r="BL21" s="67"/>
      <c r="BM21" s="67"/>
      <c r="BN21" s="67"/>
      <c r="BO21" s="67"/>
      <c r="BP21" s="55"/>
      <c r="BQ21" s="55"/>
      <c r="BR21" s="67"/>
      <c r="BS21" s="67"/>
      <c r="BT21" s="67"/>
      <c r="BU21" s="67"/>
      <c r="BV21" s="67"/>
      <c r="BW21" s="55"/>
      <c r="BX21" s="55"/>
      <c r="BY21" s="67"/>
      <c r="BZ21" s="67"/>
      <c r="CA21" s="67"/>
      <c r="CB21" s="67"/>
      <c r="CC21" s="67"/>
      <c r="CD21" s="55"/>
      <c r="CE21" s="55"/>
      <c r="CF21" s="67"/>
      <c r="CG21" s="67"/>
      <c r="CH21" s="67"/>
      <c r="CI21" s="67"/>
      <c r="CJ21" s="67"/>
      <c r="CK21" s="55"/>
      <c r="CL21" s="55"/>
      <c r="CM21" s="67"/>
      <c r="CN21" s="67"/>
      <c r="CO21" s="67"/>
      <c r="CP21" s="67"/>
      <c r="CQ21" s="67"/>
      <c r="CR21" s="56"/>
      <c r="CS21" s="55"/>
      <c r="CT21" s="67"/>
      <c r="CU21" s="67"/>
      <c r="CV21" s="67"/>
      <c r="CW21" s="67"/>
      <c r="CX21" s="67"/>
    </row>
    <row r="22" ht="19.5" customHeight="1" outlineLevel="2">
      <c r="A22" s="68" t="s">
        <v>76</v>
      </c>
      <c r="B22" s="69" t="s">
        <v>77</v>
      </c>
      <c r="C22" s="59" t="s">
        <v>62</v>
      </c>
      <c r="D22" s="59" t="s">
        <v>63</v>
      </c>
      <c r="E22" s="60" t="s">
        <v>64</v>
      </c>
      <c r="F22" s="70">
        <v>46181.0</v>
      </c>
      <c r="G22" s="70">
        <v>46183.0</v>
      </c>
      <c r="H22" s="71">
        <f t="shared" si="1"/>
        <v>3</v>
      </c>
      <c r="I22" s="72">
        <f t="shared" si="5"/>
        <v>1</v>
      </c>
      <c r="J22" s="73" t="s">
        <v>13</v>
      </c>
      <c r="K22" s="65" t="str">
        <f t="shared" si="4"/>
        <v/>
      </c>
      <c r="L22" s="66"/>
      <c r="M22" s="16"/>
      <c r="N22" s="67"/>
      <c r="O22" s="67"/>
      <c r="P22" s="67"/>
      <c r="Q22" s="67"/>
      <c r="R22" s="67"/>
      <c r="S22" s="55"/>
      <c r="T22" s="55"/>
      <c r="U22" s="67"/>
      <c r="V22" s="67"/>
      <c r="W22" s="67"/>
      <c r="X22" s="67"/>
      <c r="Y22" s="67"/>
      <c r="Z22" s="56"/>
      <c r="AA22" s="55"/>
      <c r="AB22" s="67"/>
      <c r="AC22" s="67"/>
      <c r="AD22" s="67"/>
      <c r="AE22" s="67"/>
      <c r="AF22" s="67"/>
      <c r="AG22" s="55"/>
      <c r="AH22" s="55"/>
      <c r="AI22" s="67"/>
      <c r="AJ22" s="67"/>
      <c r="AK22" s="67"/>
      <c r="AL22" s="67"/>
      <c r="AM22" s="67"/>
      <c r="AN22" s="55"/>
      <c r="AO22" s="55"/>
      <c r="AP22" s="67"/>
      <c r="AQ22" s="67"/>
      <c r="AR22" s="67"/>
      <c r="AS22" s="67"/>
      <c r="AT22" s="67"/>
      <c r="AU22" s="55"/>
      <c r="AV22" s="55"/>
      <c r="AW22" s="67"/>
      <c r="AX22" s="67"/>
      <c r="AY22" s="67"/>
      <c r="AZ22" s="67"/>
      <c r="BA22" s="67"/>
      <c r="BB22" s="55"/>
      <c r="BC22" s="55"/>
      <c r="BD22" s="67"/>
      <c r="BE22" s="67"/>
      <c r="BF22" s="67"/>
      <c r="BG22" s="67"/>
      <c r="BH22" s="67"/>
      <c r="BI22" s="55"/>
      <c r="BJ22" s="55"/>
      <c r="BK22" s="67"/>
      <c r="BL22" s="67"/>
      <c r="BM22" s="67"/>
      <c r="BN22" s="67"/>
      <c r="BO22" s="67"/>
      <c r="BP22" s="55"/>
      <c r="BQ22" s="55"/>
      <c r="BR22" s="67"/>
      <c r="BS22" s="67"/>
      <c r="BT22" s="67"/>
      <c r="BU22" s="67"/>
      <c r="BV22" s="67"/>
      <c r="BW22" s="55"/>
      <c r="BX22" s="55"/>
      <c r="BY22" s="67"/>
      <c r="BZ22" s="67"/>
      <c r="CA22" s="67"/>
      <c r="CB22" s="67"/>
      <c r="CC22" s="67"/>
      <c r="CD22" s="55"/>
      <c r="CE22" s="55"/>
      <c r="CF22" s="67"/>
      <c r="CG22" s="67"/>
      <c r="CH22" s="67"/>
      <c r="CI22" s="67"/>
      <c r="CJ22" s="67"/>
      <c r="CK22" s="55"/>
      <c r="CL22" s="55"/>
      <c r="CM22" s="67"/>
      <c r="CN22" s="67"/>
      <c r="CO22" s="67"/>
      <c r="CP22" s="67"/>
      <c r="CQ22" s="67"/>
      <c r="CR22" s="56"/>
      <c r="CS22" s="55"/>
      <c r="CT22" s="67"/>
      <c r="CU22" s="67"/>
      <c r="CV22" s="67"/>
      <c r="CW22" s="67"/>
      <c r="CX22" s="67"/>
    </row>
    <row r="23" ht="19.5" customHeight="1" outlineLevel="2">
      <c r="A23" s="68" t="s">
        <v>78</v>
      </c>
      <c r="B23" s="69" t="s">
        <v>79</v>
      </c>
      <c r="C23" s="59" t="s">
        <v>62</v>
      </c>
      <c r="D23" s="59" t="s">
        <v>63</v>
      </c>
      <c r="E23" s="60" t="s">
        <v>64</v>
      </c>
      <c r="F23" s="70">
        <v>46183.0</v>
      </c>
      <c r="G23" s="70">
        <v>46186.0</v>
      </c>
      <c r="H23" s="71">
        <f t="shared" si="1"/>
        <v>4</v>
      </c>
      <c r="I23" s="72">
        <f t="shared" si="5"/>
        <v>1</v>
      </c>
      <c r="J23" s="73" t="s">
        <v>13</v>
      </c>
      <c r="K23" s="65" t="str">
        <f t="shared" si="4"/>
        <v/>
      </c>
      <c r="L23" s="66"/>
      <c r="M23" s="16"/>
      <c r="N23" s="67"/>
      <c r="O23" s="67"/>
      <c r="P23" s="67"/>
      <c r="Q23" s="67"/>
      <c r="R23" s="67"/>
      <c r="S23" s="55"/>
      <c r="T23" s="55"/>
      <c r="U23" s="67"/>
      <c r="V23" s="67"/>
      <c r="W23" s="67"/>
      <c r="X23" s="67"/>
      <c r="Y23" s="67"/>
      <c r="Z23" s="56"/>
      <c r="AA23" s="55"/>
      <c r="AB23" s="67"/>
      <c r="AC23" s="67"/>
      <c r="AD23" s="67"/>
      <c r="AE23" s="67"/>
      <c r="AF23" s="67"/>
      <c r="AG23" s="55"/>
      <c r="AH23" s="55"/>
      <c r="AI23" s="67"/>
      <c r="AJ23" s="67"/>
      <c r="AK23" s="67"/>
      <c r="AL23" s="67"/>
      <c r="AM23" s="67"/>
      <c r="AN23" s="55"/>
      <c r="AO23" s="55"/>
      <c r="AP23" s="67"/>
      <c r="AQ23" s="67"/>
      <c r="AR23" s="67"/>
      <c r="AS23" s="67"/>
      <c r="AT23" s="67"/>
      <c r="AU23" s="55"/>
      <c r="AV23" s="55"/>
      <c r="AW23" s="67"/>
      <c r="AX23" s="67"/>
      <c r="AY23" s="67"/>
      <c r="AZ23" s="67"/>
      <c r="BA23" s="67"/>
      <c r="BB23" s="55"/>
      <c r="BC23" s="55"/>
      <c r="BD23" s="67"/>
      <c r="BE23" s="67"/>
      <c r="BF23" s="67"/>
      <c r="BG23" s="67"/>
      <c r="BH23" s="67"/>
      <c r="BI23" s="55"/>
      <c r="BJ23" s="55"/>
      <c r="BK23" s="67"/>
      <c r="BL23" s="67"/>
      <c r="BM23" s="67"/>
      <c r="BN23" s="67"/>
      <c r="BO23" s="67"/>
      <c r="BP23" s="55"/>
      <c r="BQ23" s="55"/>
      <c r="BR23" s="67"/>
      <c r="BS23" s="67"/>
      <c r="BT23" s="67"/>
      <c r="BU23" s="67"/>
      <c r="BV23" s="67"/>
      <c r="BW23" s="55"/>
      <c r="BX23" s="55"/>
      <c r="BY23" s="67"/>
      <c r="BZ23" s="67"/>
      <c r="CA23" s="67"/>
      <c r="CB23" s="67"/>
      <c r="CC23" s="67"/>
      <c r="CD23" s="55"/>
      <c r="CE23" s="55"/>
      <c r="CF23" s="67"/>
      <c r="CG23" s="67"/>
      <c r="CH23" s="67"/>
      <c r="CI23" s="67"/>
      <c r="CJ23" s="67"/>
      <c r="CK23" s="55"/>
      <c r="CL23" s="55"/>
      <c r="CM23" s="67"/>
      <c r="CN23" s="67"/>
      <c r="CO23" s="67"/>
      <c r="CP23" s="67"/>
      <c r="CQ23" s="67"/>
      <c r="CR23" s="56"/>
      <c r="CS23" s="55"/>
      <c r="CT23" s="67"/>
      <c r="CU23" s="67"/>
      <c r="CV23" s="67"/>
      <c r="CW23" s="67"/>
      <c r="CX23" s="67"/>
    </row>
    <row r="24" ht="19.5" customHeight="1" outlineLevel="2">
      <c r="A24" s="68" t="s">
        <v>80</v>
      </c>
      <c r="B24" s="69" t="s">
        <v>81</v>
      </c>
      <c r="C24" s="59" t="s">
        <v>62</v>
      </c>
      <c r="D24" s="59" t="s">
        <v>63</v>
      </c>
      <c r="E24" s="60" t="s">
        <v>64</v>
      </c>
      <c r="F24" s="70">
        <v>46185.0</v>
      </c>
      <c r="G24" s="70">
        <v>46188.0</v>
      </c>
      <c r="H24" s="71">
        <f t="shared" si="1"/>
        <v>4</v>
      </c>
      <c r="I24" s="72">
        <f t="shared" si="5"/>
        <v>1</v>
      </c>
      <c r="J24" s="73" t="s">
        <v>13</v>
      </c>
      <c r="K24" s="65" t="str">
        <f t="shared" si="4"/>
        <v/>
      </c>
      <c r="L24" s="66"/>
      <c r="M24" s="16"/>
      <c r="N24" s="67"/>
      <c r="O24" s="67"/>
      <c r="P24" s="67"/>
      <c r="Q24" s="67"/>
      <c r="R24" s="67"/>
      <c r="S24" s="55"/>
      <c r="T24" s="55"/>
      <c r="U24" s="67"/>
      <c r="V24" s="67"/>
      <c r="W24" s="67"/>
      <c r="X24" s="67"/>
      <c r="Y24" s="67"/>
      <c r="Z24" s="56"/>
      <c r="AA24" s="55"/>
      <c r="AB24" s="67"/>
      <c r="AC24" s="67"/>
      <c r="AD24" s="67"/>
      <c r="AE24" s="67"/>
      <c r="AF24" s="67"/>
      <c r="AG24" s="55"/>
      <c r="AH24" s="55"/>
      <c r="AI24" s="67"/>
      <c r="AJ24" s="67"/>
      <c r="AK24" s="67"/>
      <c r="AL24" s="67"/>
      <c r="AM24" s="67"/>
      <c r="AN24" s="55"/>
      <c r="AO24" s="55"/>
      <c r="AP24" s="67"/>
      <c r="AQ24" s="67"/>
      <c r="AR24" s="67"/>
      <c r="AS24" s="67"/>
      <c r="AT24" s="67"/>
      <c r="AU24" s="55"/>
      <c r="AV24" s="55"/>
      <c r="AW24" s="67"/>
      <c r="AX24" s="67"/>
      <c r="AY24" s="67"/>
      <c r="AZ24" s="67"/>
      <c r="BA24" s="67"/>
      <c r="BB24" s="55"/>
      <c r="BC24" s="55"/>
      <c r="BD24" s="67"/>
      <c r="BE24" s="67"/>
      <c r="BF24" s="67"/>
      <c r="BG24" s="67"/>
      <c r="BH24" s="67"/>
      <c r="BI24" s="55"/>
      <c r="BJ24" s="55"/>
      <c r="BK24" s="67"/>
      <c r="BL24" s="67"/>
      <c r="BM24" s="67"/>
      <c r="BN24" s="67"/>
      <c r="BO24" s="67"/>
      <c r="BP24" s="55"/>
      <c r="BQ24" s="55"/>
      <c r="BR24" s="67"/>
      <c r="BS24" s="67"/>
      <c r="BT24" s="67"/>
      <c r="BU24" s="67"/>
      <c r="BV24" s="67"/>
      <c r="BW24" s="55"/>
      <c r="BX24" s="55"/>
      <c r="BY24" s="67"/>
      <c r="BZ24" s="67"/>
      <c r="CA24" s="67"/>
      <c r="CB24" s="67"/>
      <c r="CC24" s="67"/>
      <c r="CD24" s="55"/>
      <c r="CE24" s="55"/>
      <c r="CF24" s="67"/>
      <c r="CG24" s="67"/>
      <c r="CH24" s="67"/>
      <c r="CI24" s="67"/>
      <c r="CJ24" s="67"/>
      <c r="CK24" s="55"/>
      <c r="CL24" s="55"/>
      <c r="CM24" s="67"/>
      <c r="CN24" s="67"/>
      <c r="CO24" s="67"/>
      <c r="CP24" s="67"/>
      <c r="CQ24" s="67"/>
      <c r="CR24" s="56"/>
      <c r="CS24" s="55"/>
      <c r="CT24" s="67"/>
      <c r="CU24" s="67"/>
      <c r="CV24" s="67"/>
      <c r="CW24" s="67"/>
      <c r="CX24" s="67"/>
    </row>
    <row r="25" ht="19.5" customHeight="1" outlineLevel="2">
      <c r="A25" s="68" t="s">
        <v>82</v>
      </c>
      <c r="B25" s="69" t="s">
        <v>83</v>
      </c>
      <c r="C25" s="59" t="s">
        <v>62</v>
      </c>
      <c r="D25" s="59" t="s">
        <v>63</v>
      </c>
      <c r="E25" s="60" t="s">
        <v>64</v>
      </c>
      <c r="F25" s="70">
        <v>46187.0</v>
      </c>
      <c r="G25" s="70">
        <v>46196.0</v>
      </c>
      <c r="H25" s="71">
        <f t="shared" si="1"/>
        <v>10</v>
      </c>
      <c r="I25" s="72">
        <f t="shared" si="5"/>
        <v>0.1111111111</v>
      </c>
      <c r="J25" s="73" t="s">
        <v>73</v>
      </c>
      <c r="K25" s="65" t="str">
        <f t="shared" si="4"/>
        <v/>
      </c>
      <c r="L25" s="66"/>
      <c r="M25" s="16"/>
      <c r="N25" s="67"/>
      <c r="O25" s="67"/>
      <c r="P25" s="67"/>
      <c r="Q25" s="67"/>
      <c r="R25" s="67"/>
      <c r="S25" s="55"/>
      <c r="T25" s="55"/>
      <c r="U25" s="67"/>
      <c r="V25" s="67"/>
      <c r="W25" s="67"/>
      <c r="X25" s="67"/>
      <c r="Y25" s="67"/>
      <c r="Z25" s="56"/>
      <c r="AA25" s="55"/>
      <c r="AB25" s="67"/>
      <c r="AC25" s="67"/>
      <c r="AD25" s="67"/>
      <c r="AE25" s="67"/>
      <c r="AF25" s="67"/>
      <c r="AG25" s="55"/>
      <c r="AH25" s="55"/>
      <c r="AI25" s="67"/>
      <c r="AJ25" s="67"/>
      <c r="AK25" s="67"/>
      <c r="AL25" s="67"/>
      <c r="AM25" s="67"/>
      <c r="AN25" s="55"/>
      <c r="AO25" s="55"/>
      <c r="AP25" s="67"/>
      <c r="AQ25" s="67"/>
      <c r="AR25" s="67"/>
      <c r="AS25" s="67"/>
      <c r="AT25" s="67"/>
      <c r="AU25" s="55"/>
      <c r="AV25" s="55"/>
      <c r="AW25" s="67"/>
      <c r="AX25" s="67"/>
      <c r="AY25" s="67"/>
      <c r="AZ25" s="67"/>
      <c r="BA25" s="67"/>
      <c r="BB25" s="55"/>
      <c r="BC25" s="55"/>
      <c r="BD25" s="67"/>
      <c r="BE25" s="67"/>
      <c r="BF25" s="67"/>
      <c r="BG25" s="67"/>
      <c r="BH25" s="67"/>
      <c r="BI25" s="55"/>
      <c r="BJ25" s="55"/>
      <c r="BK25" s="67"/>
      <c r="BL25" s="67"/>
      <c r="BM25" s="67"/>
      <c r="BN25" s="67"/>
      <c r="BO25" s="67"/>
      <c r="BP25" s="55"/>
      <c r="BQ25" s="55"/>
      <c r="BR25" s="67"/>
      <c r="BS25" s="67"/>
      <c r="BT25" s="67"/>
      <c r="BU25" s="67"/>
      <c r="BV25" s="67"/>
      <c r="BW25" s="55"/>
      <c r="BX25" s="55"/>
      <c r="BY25" s="67"/>
      <c r="BZ25" s="67"/>
      <c r="CA25" s="67"/>
      <c r="CB25" s="67"/>
      <c r="CC25" s="67"/>
      <c r="CD25" s="55"/>
      <c r="CE25" s="55"/>
      <c r="CF25" s="67"/>
      <c r="CG25" s="67"/>
      <c r="CH25" s="67"/>
      <c r="CI25" s="67"/>
      <c r="CJ25" s="67"/>
      <c r="CK25" s="55"/>
      <c r="CL25" s="55"/>
      <c r="CM25" s="67"/>
      <c r="CN25" s="67"/>
      <c r="CO25" s="67"/>
      <c r="CP25" s="67"/>
      <c r="CQ25" s="67"/>
      <c r="CR25" s="56"/>
      <c r="CS25" s="55"/>
      <c r="CT25" s="67"/>
      <c r="CU25" s="67"/>
      <c r="CV25" s="67"/>
      <c r="CW25" s="67"/>
      <c r="CX25" s="67"/>
    </row>
    <row r="26" ht="19.5" customHeight="1" outlineLevel="2">
      <c r="A26" s="68" t="s">
        <v>84</v>
      </c>
      <c r="B26" s="69" t="s">
        <v>85</v>
      </c>
      <c r="C26" s="59" t="s">
        <v>62</v>
      </c>
      <c r="D26" s="59" t="s">
        <v>63</v>
      </c>
      <c r="E26" s="60" t="s">
        <v>64</v>
      </c>
      <c r="F26" s="70">
        <v>46180.0</v>
      </c>
      <c r="G26" s="70">
        <v>46182.0</v>
      </c>
      <c r="H26" s="71">
        <f t="shared" si="1"/>
        <v>3</v>
      </c>
      <c r="I26" s="72">
        <f t="shared" si="5"/>
        <v>0.99</v>
      </c>
      <c r="J26" s="73" t="s">
        <v>73</v>
      </c>
      <c r="K26" s="65" t="str">
        <f t="shared" si="4"/>
        <v>⚠ 마감 초과</v>
      </c>
      <c r="L26" s="66"/>
      <c r="M26" s="16"/>
      <c r="N26" s="67"/>
      <c r="O26" s="67"/>
      <c r="P26" s="67"/>
      <c r="Q26" s="67"/>
      <c r="R26" s="67"/>
      <c r="S26" s="55"/>
      <c r="T26" s="55"/>
      <c r="U26" s="67"/>
      <c r="V26" s="67"/>
      <c r="W26" s="67"/>
      <c r="X26" s="67"/>
      <c r="Y26" s="67"/>
      <c r="Z26" s="56"/>
      <c r="AA26" s="55"/>
      <c r="AB26" s="67"/>
      <c r="AC26" s="67"/>
      <c r="AD26" s="67"/>
      <c r="AE26" s="67"/>
      <c r="AF26" s="67"/>
      <c r="AG26" s="55"/>
      <c r="AH26" s="55"/>
      <c r="AI26" s="67"/>
      <c r="AJ26" s="67"/>
      <c r="AK26" s="67"/>
      <c r="AL26" s="67"/>
      <c r="AM26" s="67"/>
      <c r="AN26" s="55"/>
      <c r="AO26" s="55"/>
      <c r="AP26" s="67"/>
      <c r="AQ26" s="67"/>
      <c r="AR26" s="67"/>
      <c r="AS26" s="67"/>
      <c r="AT26" s="67"/>
      <c r="AU26" s="55"/>
      <c r="AV26" s="55"/>
      <c r="AW26" s="67"/>
      <c r="AX26" s="67"/>
      <c r="AY26" s="67"/>
      <c r="AZ26" s="67"/>
      <c r="BA26" s="67"/>
      <c r="BB26" s="55"/>
      <c r="BC26" s="55"/>
      <c r="BD26" s="67"/>
      <c r="BE26" s="67"/>
      <c r="BF26" s="67"/>
      <c r="BG26" s="67"/>
      <c r="BH26" s="67"/>
      <c r="BI26" s="55"/>
      <c r="BJ26" s="55"/>
      <c r="BK26" s="67"/>
      <c r="BL26" s="67"/>
      <c r="BM26" s="67"/>
      <c r="BN26" s="67"/>
      <c r="BO26" s="67"/>
      <c r="BP26" s="55"/>
      <c r="BQ26" s="55"/>
      <c r="BR26" s="67"/>
      <c r="BS26" s="67"/>
      <c r="BT26" s="67"/>
      <c r="BU26" s="67"/>
      <c r="BV26" s="67"/>
      <c r="BW26" s="55"/>
      <c r="BX26" s="55"/>
      <c r="BY26" s="67"/>
      <c r="BZ26" s="67"/>
      <c r="CA26" s="67"/>
      <c r="CB26" s="67"/>
      <c r="CC26" s="67"/>
      <c r="CD26" s="55"/>
      <c r="CE26" s="55"/>
      <c r="CF26" s="67"/>
      <c r="CG26" s="67"/>
      <c r="CH26" s="67"/>
      <c r="CI26" s="67"/>
      <c r="CJ26" s="67"/>
      <c r="CK26" s="55"/>
      <c r="CL26" s="55"/>
      <c r="CM26" s="67"/>
      <c r="CN26" s="67"/>
      <c r="CO26" s="67"/>
      <c r="CP26" s="67"/>
      <c r="CQ26" s="67"/>
      <c r="CR26" s="56"/>
      <c r="CS26" s="55"/>
      <c r="CT26" s="67"/>
      <c r="CU26" s="67"/>
      <c r="CV26" s="67"/>
      <c r="CW26" s="67"/>
      <c r="CX26" s="67"/>
    </row>
    <row r="27" ht="19.5" customHeight="1" outlineLevel="1">
      <c r="A27" s="57" t="s">
        <v>86</v>
      </c>
      <c r="B27" s="58" t="s">
        <v>87</v>
      </c>
      <c r="C27" s="59" t="s">
        <v>62</v>
      </c>
      <c r="D27" s="59"/>
      <c r="E27" s="60"/>
      <c r="F27" s="61">
        <f>IFERROR(MINIFS(F28:F30,J28:J30,"&lt;&gt;삭제"),"")</f>
        <v>46189</v>
      </c>
      <c r="G27" s="61">
        <f>IFERROR(MAXIFS(G28:G30,J28:J30,"&lt;&gt;삭제"),"")</f>
        <v>46209</v>
      </c>
      <c r="H27" s="62">
        <f t="shared" si="1"/>
        <v>21</v>
      </c>
      <c r="I27" s="63">
        <f>IFERROR((IF(J28&lt;&gt;"삭제",I28,0)+IF(J29&lt;&gt;"삭제",I29,0)+IF(J30&lt;&gt;"삭제",I30,0))/(IF(J28&lt;&gt;"삭제",1,0)+IF(J29&lt;&gt;"삭제",1,0)+IF(J30&lt;&gt;"삭제",1,0)),0)</f>
        <v>0</v>
      </c>
      <c r="J27" s="64" t="s">
        <v>73</v>
      </c>
      <c r="K27" s="65" t="str">
        <f t="shared" si="4"/>
        <v/>
      </c>
      <c r="L27" s="66"/>
      <c r="M27" s="16"/>
      <c r="N27" s="67"/>
      <c r="O27" s="67"/>
      <c r="P27" s="67"/>
      <c r="Q27" s="67"/>
      <c r="R27" s="67"/>
      <c r="S27" s="55"/>
      <c r="T27" s="55"/>
      <c r="U27" s="67"/>
      <c r="V27" s="67"/>
      <c r="W27" s="67"/>
      <c r="X27" s="67"/>
      <c r="Y27" s="67"/>
      <c r="Z27" s="56"/>
      <c r="AA27" s="55"/>
      <c r="AB27" s="67"/>
      <c r="AC27" s="67"/>
      <c r="AD27" s="67"/>
      <c r="AE27" s="67"/>
      <c r="AF27" s="67"/>
      <c r="AG27" s="55"/>
      <c r="AH27" s="55"/>
      <c r="AI27" s="67"/>
      <c r="AJ27" s="67"/>
      <c r="AK27" s="67"/>
      <c r="AL27" s="67"/>
      <c r="AM27" s="67"/>
      <c r="AN27" s="55"/>
      <c r="AO27" s="55"/>
      <c r="AP27" s="67"/>
      <c r="AQ27" s="67"/>
      <c r="AR27" s="67"/>
      <c r="AS27" s="67"/>
      <c r="AT27" s="67"/>
      <c r="AU27" s="55"/>
      <c r="AV27" s="55"/>
      <c r="AW27" s="67"/>
      <c r="AX27" s="67"/>
      <c r="AY27" s="67"/>
      <c r="AZ27" s="67"/>
      <c r="BA27" s="67"/>
      <c r="BB27" s="55"/>
      <c r="BC27" s="55"/>
      <c r="BD27" s="67"/>
      <c r="BE27" s="67"/>
      <c r="BF27" s="67"/>
      <c r="BG27" s="67"/>
      <c r="BH27" s="67"/>
      <c r="BI27" s="55"/>
      <c r="BJ27" s="55"/>
      <c r="BK27" s="67"/>
      <c r="BL27" s="67"/>
      <c r="BM27" s="67"/>
      <c r="BN27" s="67"/>
      <c r="BO27" s="67"/>
      <c r="BP27" s="55"/>
      <c r="BQ27" s="55"/>
      <c r="BR27" s="67"/>
      <c r="BS27" s="67"/>
      <c r="BT27" s="67"/>
      <c r="BU27" s="67"/>
      <c r="BV27" s="67"/>
      <c r="BW27" s="55"/>
      <c r="BX27" s="55"/>
      <c r="BY27" s="67"/>
      <c r="BZ27" s="67"/>
      <c r="CA27" s="67"/>
      <c r="CB27" s="67"/>
      <c r="CC27" s="67"/>
      <c r="CD27" s="55"/>
      <c r="CE27" s="55"/>
      <c r="CF27" s="67"/>
      <c r="CG27" s="67"/>
      <c r="CH27" s="67"/>
      <c r="CI27" s="67"/>
      <c r="CJ27" s="67"/>
      <c r="CK27" s="55"/>
      <c r="CL27" s="55"/>
      <c r="CM27" s="67"/>
      <c r="CN27" s="67"/>
      <c r="CO27" s="67"/>
      <c r="CP27" s="67"/>
      <c r="CQ27" s="67"/>
      <c r="CR27" s="56"/>
      <c r="CS27" s="55"/>
      <c r="CT27" s="67"/>
      <c r="CU27" s="67"/>
      <c r="CV27" s="67"/>
      <c r="CW27" s="67"/>
      <c r="CX27" s="67"/>
    </row>
    <row r="28" ht="19.5" customHeight="1" outlineLevel="2">
      <c r="A28" s="68" t="s">
        <v>88</v>
      </c>
      <c r="B28" s="69" t="s">
        <v>89</v>
      </c>
      <c r="C28" s="59" t="s">
        <v>62</v>
      </c>
      <c r="D28" s="59" t="s">
        <v>90</v>
      </c>
      <c r="E28" s="60" t="s">
        <v>91</v>
      </c>
      <c r="F28" s="70">
        <v>46189.0</v>
      </c>
      <c r="G28" s="70">
        <v>46202.0</v>
      </c>
      <c r="H28" s="71">
        <f t="shared" si="1"/>
        <v>14</v>
      </c>
      <c r="I28" s="72">
        <f t="shared" ref="I28:I33" si="6">IF(J28="삭제",0,IF(J28="완료",1,IFERROR(MIN(0.99,MAX(0,($F$3-F28)/(G28-F28))),0)))</f>
        <v>0</v>
      </c>
      <c r="J28" s="73" t="s">
        <v>73</v>
      </c>
      <c r="K28" s="65" t="str">
        <f t="shared" si="4"/>
        <v/>
      </c>
      <c r="L28" s="66"/>
      <c r="M28" s="16"/>
      <c r="N28" s="67"/>
      <c r="O28" s="67"/>
      <c r="P28" s="67"/>
      <c r="Q28" s="67"/>
      <c r="R28" s="67"/>
      <c r="S28" s="55"/>
      <c r="T28" s="55"/>
      <c r="U28" s="67"/>
      <c r="V28" s="67"/>
      <c r="W28" s="67"/>
      <c r="X28" s="67"/>
      <c r="Y28" s="67"/>
      <c r="Z28" s="56"/>
      <c r="AA28" s="55"/>
      <c r="AB28" s="67"/>
      <c r="AC28" s="67"/>
      <c r="AD28" s="67"/>
      <c r="AE28" s="67"/>
      <c r="AF28" s="67"/>
      <c r="AG28" s="55"/>
      <c r="AH28" s="55"/>
      <c r="AI28" s="67"/>
      <c r="AJ28" s="67"/>
      <c r="AK28" s="67"/>
      <c r="AL28" s="67"/>
      <c r="AM28" s="67"/>
      <c r="AN28" s="55"/>
      <c r="AO28" s="55"/>
      <c r="AP28" s="67"/>
      <c r="AQ28" s="67"/>
      <c r="AR28" s="67"/>
      <c r="AS28" s="67"/>
      <c r="AT28" s="67"/>
      <c r="AU28" s="55"/>
      <c r="AV28" s="55"/>
      <c r="AW28" s="67"/>
      <c r="AX28" s="67"/>
      <c r="AY28" s="67"/>
      <c r="AZ28" s="67"/>
      <c r="BA28" s="67"/>
      <c r="BB28" s="55"/>
      <c r="BC28" s="55"/>
      <c r="BD28" s="67"/>
      <c r="BE28" s="67"/>
      <c r="BF28" s="67"/>
      <c r="BG28" s="67"/>
      <c r="BH28" s="67"/>
      <c r="BI28" s="55"/>
      <c r="BJ28" s="55"/>
      <c r="BK28" s="67"/>
      <c r="BL28" s="67"/>
      <c r="BM28" s="67"/>
      <c r="BN28" s="67"/>
      <c r="BO28" s="67"/>
      <c r="BP28" s="55"/>
      <c r="BQ28" s="55"/>
      <c r="BR28" s="67"/>
      <c r="BS28" s="67"/>
      <c r="BT28" s="67"/>
      <c r="BU28" s="67"/>
      <c r="BV28" s="67"/>
      <c r="BW28" s="55"/>
      <c r="BX28" s="55"/>
      <c r="BY28" s="67"/>
      <c r="BZ28" s="67"/>
      <c r="CA28" s="67"/>
      <c r="CB28" s="67"/>
      <c r="CC28" s="67"/>
      <c r="CD28" s="55"/>
      <c r="CE28" s="55"/>
      <c r="CF28" s="67"/>
      <c r="CG28" s="67"/>
      <c r="CH28" s="67"/>
      <c r="CI28" s="67"/>
      <c r="CJ28" s="67"/>
      <c r="CK28" s="55"/>
      <c r="CL28" s="55"/>
      <c r="CM28" s="67"/>
      <c r="CN28" s="67"/>
      <c r="CO28" s="67"/>
      <c r="CP28" s="67"/>
      <c r="CQ28" s="67"/>
      <c r="CR28" s="56"/>
      <c r="CS28" s="55"/>
      <c r="CT28" s="67"/>
      <c r="CU28" s="67"/>
      <c r="CV28" s="67"/>
      <c r="CW28" s="67"/>
      <c r="CX28" s="67"/>
    </row>
    <row r="29" ht="19.5" customHeight="1" outlineLevel="2">
      <c r="A29" s="68" t="s">
        <v>92</v>
      </c>
      <c r="B29" s="69" t="s">
        <v>93</v>
      </c>
      <c r="C29" s="59" t="s">
        <v>94</v>
      </c>
      <c r="D29" s="59" t="s">
        <v>95</v>
      </c>
      <c r="E29" s="60" t="s">
        <v>64</v>
      </c>
      <c r="F29" s="70">
        <v>46189.0</v>
      </c>
      <c r="G29" s="70">
        <v>46209.0</v>
      </c>
      <c r="H29" s="71">
        <f t="shared" si="1"/>
        <v>21</v>
      </c>
      <c r="I29" s="72">
        <f t="shared" si="6"/>
        <v>0</v>
      </c>
      <c r="J29" s="73" t="s">
        <v>96</v>
      </c>
      <c r="K29" s="65" t="str">
        <f t="shared" si="4"/>
        <v/>
      </c>
      <c r="L29" s="74" t="s">
        <v>97</v>
      </c>
      <c r="M29" s="16"/>
      <c r="N29" s="67"/>
      <c r="O29" s="67"/>
      <c r="P29" s="67"/>
      <c r="Q29" s="67"/>
      <c r="R29" s="67"/>
      <c r="S29" s="55"/>
      <c r="T29" s="55"/>
      <c r="U29" s="67"/>
      <c r="V29" s="67"/>
      <c r="W29" s="67"/>
      <c r="X29" s="67"/>
      <c r="Y29" s="67"/>
      <c r="Z29" s="56"/>
      <c r="AA29" s="55"/>
      <c r="AB29" s="67"/>
      <c r="AC29" s="67"/>
      <c r="AD29" s="67"/>
      <c r="AE29" s="67"/>
      <c r="AF29" s="67"/>
      <c r="AG29" s="55"/>
      <c r="AH29" s="55"/>
      <c r="AI29" s="67"/>
      <c r="AJ29" s="67"/>
      <c r="AK29" s="67"/>
      <c r="AL29" s="67"/>
      <c r="AM29" s="67"/>
      <c r="AN29" s="55"/>
      <c r="AO29" s="55"/>
      <c r="AP29" s="67"/>
      <c r="AQ29" s="67"/>
      <c r="AR29" s="67"/>
      <c r="AS29" s="67"/>
      <c r="AT29" s="67"/>
      <c r="AU29" s="55"/>
      <c r="AV29" s="55"/>
      <c r="AW29" s="67"/>
      <c r="AX29" s="67"/>
      <c r="AY29" s="67"/>
      <c r="AZ29" s="67"/>
      <c r="BA29" s="67"/>
      <c r="BB29" s="55"/>
      <c r="BC29" s="55"/>
      <c r="BD29" s="67"/>
      <c r="BE29" s="67"/>
      <c r="BF29" s="67"/>
      <c r="BG29" s="67"/>
      <c r="BH29" s="67"/>
      <c r="BI29" s="55"/>
      <c r="BJ29" s="55"/>
      <c r="BK29" s="67"/>
      <c r="BL29" s="67"/>
      <c r="BM29" s="67"/>
      <c r="BN29" s="67"/>
      <c r="BO29" s="67"/>
      <c r="BP29" s="55"/>
      <c r="BQ29" s="55"/>
      <c r="BR29" s="67"/>
      <c r="BS29" s="67"/>
      <c r="BT29" s="67"/>
      <c r="BU29" s="67"/>
      <c r="BV29" s="67"/>
      <c r="BW29" s="55"/>
      <c r="BX29" s="55"/>
      <c r="BY29" s="67"/>
      <c r="BZ29" s="67"/>
      <c r="CA29" s="67"/>
      <c r="CB29" s="67"/>
      <c r="CC29" s="67"/>
      <c r="CD29" s="55"/>
      <c r="CE29" s="55"/>
      <c r="CF29" s="67"/>
      <c r="CG29" s="67"/>
      <c r="CH29" s="67"/>
      <c r="CI29" s="67"/>
      <c r="CJ29" s="67"/>
      <c r="CK29" s="55"/>
      <c r="CL29" s="55"/>
      <c r="CM29" s="67"/>
      <c r="CN29" s="67"/>
      <c r="CO29" s="67"/>
      <c r="CP29" s="67"/>
      <c r="CQ29" s="67"/>
      <c r="CR29" s="56"/>
      <c r="CS29" s="55"/>
      <c r="CT29" s="67"/>
      <c r="CU29" s="67"/>
      <c r="CV29" s="67"/>
      <c r="CW29" s="67"/>
      <c r="CX29" s="67"/>
    </row>
    <row r="30" ht="19.5" customHeight="1" outlineLevel="2">
      <c r="A30" s="68" t="s">
        <v>98</v>
      </c>
      <c r="B30" s="69" t="s">
        <v>99</v>
      </c>
      <c r="C30" s="59" t="s">
        <v>94</v>
      </c>
      <c r="D30" s="59" t="s">
        <v>95</v>
      </c>
      <c r="E30" s="60" t="s">
        <v>64</v>
      </c>
      <c r="F30" s="70">
        <v>46203.0</v>
      </c>
      <c r="G30" s="70">
        <v>46209.0</v>
      </c>
      <c r="H30" s="71">
        <f t="shared" si="1"/>
        <v>7</v>
      </c>
      <c r="I30" s="72">
        <f t="shared" si="6"/>
        <v>0</v>
      </c>
      <c r="J30" s="73" t="s">
        <v>16</v>
      </c>
      <c r="K30" s="65" t="str">
        <f t="shared" si="4"/>
        <v/>
      </c>
      <c r="L30" s="74" t="s">
        <v>100</v>
      </c>
      <c r="M30" s="16"/>
      <c r="N30" s="67"/>
      <c r="O30" s="67"/>
      <c r="P30" s="67"/>
      <c r="Q30" s="67"/>
      <c r="R30" s="67"/>
      <c r="S30" s="55"/>
      <c r="T30" s="55"/>
      <c r="U30" s="67"/>
      <c r="V30" s="67"/>
      <c r="W30" s="67"/>
      <c r="X30" s="67"/>
      <c r="Y30" s="67"/>
      <c r="Z30" s="56"/>
      <c r="AA30" s="55"/>
      <c r="AB30" s="67"/>
      <c r="AC30" s="67"/>
      <c r="AD30" s="67"/>
      <c r="AE30" s="67"/>
      <c r="AF30" s="67"/>
      <c r="AG30" s="55"/>
      <c r="AH30" s="55"/>
      <c r="AI30" s="67"/>
      <c r="AJ30" s="67"/>
      <c r="AK30" s="67"/>
      <c r="AL30" s="67"/>
      <c r="AM30" s="67"/>
      <c r="AN30" s="55"/>
      <c r="AO30" s="55"/>
      <c r="AP30" s="67"/>
      <c r="AQ30" s="67"/>
      <c r="AR30" s="67"/>
      <c r="AS30" s="67"/>
      <c r="AT30" s="67"/>
      <c r="AU30" s="55"/>
      <c r="AV30" s="55"/>
      <c r="AW30" s="67"/>
      <c r="AX30" s="67"/>
      <c r="AY30" s="67"/>
      <c r="AZ30" s="67"/>
      <c r="BA30" s="67"/>
      <c r="BB30" s="55"/>
      <c r="BC30" s="55"/>
      <c r="BD30" s="67"/>
      <c r="BE30" s="67"/>
      <c r="BF30" s="67"/>
      <c r="BG30" s="67"/>
      <c r="BH30" s="67"/>
      <c r="BI30" s="55"/>
      <c r="BJ30" s="55"/>
      <c r="BK30" s="67"/>
      <c r="BL30" s="67"/>
      <c r="BM30" s="67"/>
      <c r="BN30" s="67"/>
      <c r="BO30" s="67"/>
      <c r="BP30" s="55"/>
      <c r="BQ30" s="55"/>
      <c r="BR30" s="67"/>
      <c r="BS30" s="67"/>
      <c r="BT30" s="67"/>
      <c r="BU30" s="67"/>
      <c r="BV30" s="67"/>
      <c r="BW30" s="55"/>
      <c r="BX30" s="55"/>
      <c r="BY30" s="67"/>
      <c r="BZ30" s="67"/>
      <c r="CA30" s="67"/>
      <c r="CB30" s="67"/>
      <c r="CC30" s="67"/>
      <c r="CD30" s="55"/>
      <c r="CE30" s="55"/>
      <c r="CF30" s="67"/>
      <c r="CG30" s="67"/>
      <c r="CH30" s="67"/>
      <c r="CI30" s="67"/>
      <c r="CJ30" s="67"/>
      <c r="CK30" s="55"/>
      <c r="CL30" s="55"/>
      <c r="CM30" s="67"/>
      <c r="CN30" s="67"/>
      <c r="CO30" s="67"/>
      <c r="CP30" s="67"/>
      <c r="CQ30" s="67"/>
      <c r="CR30" s="56"/>
      <c r="CS30" s="55"/>
      <c r="CT30" s="67"/>
      <c r="CU30" s="67"/>
      <c r="CV30" s="67"/>
      <c r="CW30" s="67"/>
      <c r="CX30" s="67"/>
    </row>
    <row r="31" ht="19.5" customHeight="1" outlineLevel="1">
      <c r="A31" s="57" t="s">
        <v>101</v>
      </c>
      <c r="B31" s="58" t="s">
        <v>102</v>
      </c>
      <c r="C31" s="59" t="s">
        <v>103</v>
      </c>
      <c r="D31" s="59" t="s">
        <v>104</v>
      </c>
      <c r="E31" s="60" t="s">
        <v>91</v>
      </c>
      <c r="F31" s="61">
        <v>46203.0</v>
      </c>
      <c r="G31" s="61">
        <v>46223.0</v>
      </c>
      <c r="H31" s="62">
        <f t="shared" si="1"/>
        <v>21</v>
      </c>
      <c r="I31" s="63">
        <f t="shared" si="6"/>
        <v>0</v>
      </c>
      <c r="J31" s="64" t="s">
        <v>16</v>
      </c>
      <c r="K31" s="65" t="str">
        <f t="shared" si="4"/>
        <v/>
      </c>
      <c r="L31" s="74" t="s">
        <v>105</v>
      </c>
      <c r="M31" s="16"/>
      <c r="N31" s="67"/>
      <c r="O31" s="67"/>
      <c r="P31" s="67"/>
      <c r="Q31" s="67"/>
      <c r="R31" s="67"/>
      <c r="S31" s="55"/>
      <c r="T31" s="55"/>
      <c r="U31" s="67"/>
      <c r="V31" s="67"/>
      <c r="W31" s="67"/>
      <c r="X31" s="67"/>
      <c r="Y31" s="67"/>
      <c r="Z31" s="56"/>
      <c r="AA31" s="55"/>
      <c r="AB31" s="67"/>
      <c r="AC31" s="67"/>
      <c r="AD31" s="67"/>
      <c r="AE31" s="67"/>
      <c r="AF31" s="67"/>
      <c r="AG31" s="55"/>
      <c r="AH31" s="55"/>
      <c r="AI31" s="67"/>
      <c r="AJ31" s="67"/>
      <c r="AK31" s="67"/>
      <c r="AL31" s="67"/>
      <c r="AM31" s="67"/>
      <c r="AN31" s="55"/>
      <c r="AO31" s="55"/>
      <c r="AP31" s="67"/>
      <c r="AQ31" s="67"/>
      <c r="AR31" s="67"/>
      <c r="AS31" s="67"/>
      <c r="AT31" s="67"/>
      <c r="AU31" s="55"/>
      <c r="AV31" s="55"/>
      <c r="AW31" s="67"/>
      <c r="AX31" s="67"/>
      <c r="AY31" s="67"/>
      <c r="AZ31" s="67"/>
      <c r="BA31" s="67"/>
      <c r="BB31" s="55"/>
      <c r="BC31" s="55"/>
      <c r="BD31" s="67"/>
      <c r="BE31" s="67"/>
      <c r="BF31" s="67"/>
      <c r="BG31" s="67"/>
      <c r="BH31" s="67"/>
      <c r="BI31" s="55"/>
      <c r="BJ31" s="55"/>
      <c r="BK31" s="67"/>
      <c r="BL31" s="67"/>
      <c r="BM31" s="67"/>
      <c r="BN31" s="67"/>
      <c r="BO31" s="67"/>
      <c r="BP31" s="55"/>
      <c r="BQ31" s="55"/>
      <c r="BR31" s="67"/>
      <c r="BS31" s="67"/>
      <c r="BT31" s="67"/>
      <c r="BU31" s="67"/>
      <c r="BV31" s="67"/>
      <c r="BW31" s="55"/>
      <c r="BX31" s="55"/>
      <c r="BY31" s="67"/>
      <c r="BZ31" s="67"/>
      <c r="CA31" s="67"/>
      <c r="CB31" s="67"/>
      <c r="CC31" s="67"/>
      <c r="CD31" s="55"/>
      <c r="CE31" s="55"/>
      <c r="CF31" s="67"/>
      <c r="CG31" s="67"/>
      <c r="CH31" s="67"/>
      <c r="CI31" s="67"/>
      <c r="CJ31" s="67"/>
      <c r="CK31" s="55"/>
      <c r="CL31" s="55"/>
      <c r="CM31" s="67"/>
      <c r="CN31" s="67"/>
      <c r="CO31" s="67"/>
      <c r="CP31" s="67"/>
      <c r="CQ31" s="67"/>
      <c r="CR31" s="56"/>
      <c r="CS31" s="55"/>
      <c r="CT31" s="67"/>
      <c r="CU31" s="67"/>
      <c r="CV31" s="67"/>
      <c r="CW31" s="67"/>
      <c r="CX31" s="67"/>
    </row>
    <row r="32" ht="19.5" customHeight="1" outlineLevel="1">
      <c r="A32" s="57" t="s">
        <v>106</v>
      </c>
      <c r="B32" s="58" t="s">
        <v>107</v>
      </c>
      <c r="C32" s="59" t="s">
        <v>108</v>
      </c>
      <c r="D32" s="59" t="s">
        <v>109</v>
      </c>
      <c r="E32" s="60" t="s">
        <v>109</v>
      </c>
      <c r="F32" s="61">
        <v>46196.0</v>
      </c>
      <c r="G32" s="61">
        <v>46209.0</v>
      </c>
      <c r="H32" s="62">
        <f t="shared" si="1"/>
        <v>14</v>
      </c>
      <c r="I32" s="63">
        <f t="shared" si="6"/>
        <v>0</v>
      </c>
      <c r="J32" s="64" t="s">
        <v>18</v>
      </c>
      <c r="K32" s="65" t="str">
        <f t="shared" si="4"/>
        <v/>
      </c>
      <c r="L32" s="66"/>
      <c r="M32" s="16"/>
      <c r="N32" s="67"/>
      <c r="O32" s="67"/>
      <c r="P32" s="67"/>
      <c r="Q32" s="67"/>
      <c r="R32" s="67"/>
      <c r="S32" s="55"/>
      <c r="T32" s="55"/>
      <c r="U32" s="67"/>
      <c r="V32" s="67"/>
      <c r="W32" s="67"/>
      <c r="X32" s="67"/>
      <c r="Y32" s="67"/>
      <c r="Z32" s="56"/>
      <c r="AA32" s="55"/>
      <c r="AB32" s="67"/>
      <c r="AC32" s="67"/>
      <c r="AD32" s="67"/>
      <c r="AE32" s="67"/>
      <c r="AF32" s="67"/>
      <c r="AG32" s="55"/>
      <c r="AH32" s="55"/>
      <c r="AI32" s="67"/>
      <c r="AJ32" s="67"/>
      <c r="AK32" s="67"/>
      <c r="AL32" s="67"/>
      <c r="AM32" s="67"/>
      <c r="AN32" s="55"/>
      <c r="AO32" s="55"/>
      <c r="AP32" s="67"/>
      <c r="AQ32" s="67"/>
      <c r="AR32" s="67"/>
      <c r="AS32" s="67"/>
      <c r="AT32" s="67"/>
      <c r="AU32" s="55"/>
      <c r="AV32" s="55"/>
      <c r="AW32" s="67"/>
      <c r="AX32" s="67"/>
      <c r="AY32" s="67"/>
      <c r="AZ32" s="67"/>
      <c r="BA32" s="67"/>
      <c r="BB32" s="55"/>
      <c r="BC32" s="55"/>
      <c r="BD32" s="67"/>
      <c r="BE32" s="67"/>
      <c r="BF32" s="67"/>
      <c r="BG32" s="67"/>
      <c r="BH32" s="67"/>
      <c r="BI32" s="55"/>
      <c r="BJ32" s="55"/>
      <c r="BK32" s="67"/>
      <c r="BL32" s="67"/>
      <c r="BM32" s="67"/>
      <c r="BN32" s="67"/>
      <c r="BO32" s="67"/>
      <c r="BP32" s="55"/>
      <c r="BQ32" s="55"/>
      <c r="BR32" s="67"/>
      <c r="BS32" s="67"/>
      <c r="BT32" s="67"/>
      <c r="BU32" s="67"/>
      <c r="BV32" s="67"/>
      <c r="BW32" s="55"/>
      <c r="BX32" s="55"/>
      <c r="BY32" s="67"/>
      <c r="BZ32" s="67"/>
      <c r="CA32" s="67"/>
      <c r="CB32" s="67"/>
      <c r="CC32" s="67"/>
      <c r="CD32" s="55"/>
      <c r="CE32" s="55"/>
      <c r="CF32" s="67"/>
      <c r="CG32" s="67"/>
      <c r="CH32" s="67"/>
      <c r="CI32" s="67"/>
      <c r="CJ32" s="67"/>
      <c r="CK32" s="55"/>
      <c r="CL32" s="55"/>
      <c r="CM32" s="67"/>
      <c r="CN32" s="67"/>
      <c r="CO32" s="67"/>
      <c r="CP32" s="67"/>
      <c r="CQ32" s="67"/>
      <c r="CR32" s="56"/>
      <c r="CS32" s="55"/>
      <c r="CT32" s="67"/>
      <c r="CU32" s="67"/>
      <c r="CV32" s="67"/>
      <c r="CW32" s="67"/>
      <c r="CX32" s="67"/>
    </row>
    <row r="33" ht="19.5" customHeight="1" outlineLevel="1">
      <c r="A33" s="57" t="s">
        <v>110</v>
      </c>
      <c r="B33" s="58" t="s">
        <v>111</v>
      </c>
      <c r="C33" s="59" t="s">
        <v>62</v>
      </c>
      <c r="D33" s="59" t="s">
        <v>63</v>
      </c>
      <c r="E33" s="60" t="s">
        <v>64</v>
      </c>
      <c r="F33" s="61">
        <v>46198.0</v>
      </c>
      <c r="G33" s="61">
        <v>46213.0</v>
      </c>
      <c r="H33" s="62">
        <f t="shared" si="1"/>
        <v>16</v>
      </c>
      <c r="I33" s="63">
        <f t="shared" si="6"/>
        <v>1</v>
      </c>
      <c r="J33" s="64" t="s">
        <v>13</v>
      </c>
      <c r="K33" s="65" t="str">
        <f t="shared" si="4"/>
        <v>⚡ 미래 날짜 완료 이상</v>
      </c>
      <c r="L33" s="66"/>
      <c r="M33" s="16"/>
      <c r="N33" s="67"/>
      <c r="O33" s="67"/>
      <c r="P33" s="67"/>
      <c r="Q33" s="67"/>
      <c r="R33" s="67"/>
      <c r="S33" s="55"/>
      <c r="T33" s="55"/>
      <c r="U33" s="67"/>
      <c r="V33" s="67"/>
      <c r="W33" s="67"/>
      <c r="X33" s="67"/>
      <c r="Y33" s="67"/>
      <c r="Z33" s="56"/>
      <c r="AA33" s="55"/>
      <c r="AB33" s="67"/>
      <c r="AC33" s="67"/>
      <c r="AD33" s="67"/>
      <c r="AE33" s="67"/>
      <c r="AF33" s="67"/>
      <c r="AG33" s="55"/>
      <c r="AH33" s="55"/>
      <c r="AI33" s="67"/>
      <c r="AJ33" s="67"/>
      <c r="AK33" s="67"/>
      <c r="AL33" s="67"/>
      <c r="AM33" s="67"/>
      <c r="AN33" s="55"/>
      <c r="AO33" s="55"/>
      <c r="AP33" s="67"/>
      <c r="AQ33" s="67"/>
      <c r="AR33" s="67"/>
      <c r="AS33" s="67"/>
      <c r="AT33" s="67"/>
      <c r="AU33" s="55"/>
      <c r="AV33" s="55"/>
      <c r="AW33" s="67"/>
      <c r="AX33" s="67"/>
      <c r="AY33" s="67"/>
      <c r="AZ33" s="67"/>
      <c r="BA33" s="67"/>
      <c r="BB33" s="55"/>
      <c r="BC33" s="55"/>
      <c r="BD33" s="67"/>
      <c r="BE33" s="67"/>
      <c r="BF33" s="67"/>
      <c r="BG33" s="67"/>
      <c r="BH33" s="67"/>
      <c r="BI33" s="55"/>
      <c r="BJ33" s="55"/>
      <c r="BK33" s="67"/>
      <c r="BL33" s="67"/>
      <c r="BM33" s="67"/>
      <c r="BN33" s="67"/>
      <c r="BO33" s="67"/>
      <c r="BP33" s="55"/>
      <c r="BQ33" s="55"/>
      <c r="BR33" s="67"/>
      <c r="BS33" s="67"/>
      <c r="BT33" s="67"/>
      <c r="BU33" s="67"/>
      <c r="BV33" s="67"/>
      <c r="BW33" s="55"/>
      <c r="BX33" s="55"/>
      <c r="BY33" s="67"/>
      <c r="BZ33" s="67"/>
      <c r="CA33" s="67"/>
      <c r="CB33" s="67"/>
      <c r="CC33" s="67"/>
      <c r="CD33" s="55"/>
      <c r="CE33" s="55"/>
      <c r="CF33" s="67"/>
      <c r="CG33" s="67"/>
      <c r="CH33" s="67"/>
      <c r="CI33" s="67"/>
      <c r="CJ33" s="67"/>
      <c r="CK33" s="55"/>
      <c r="CL33" s="55"/>
      <c r="CM33" s="67"/>
      <c r="CN33" s="67"/>
      <c r="CO33" s="67"/>
      <c r="CP33" s="67"/>
      <c r="CQ33" s="67"/>
      <c r="CR33" s="56"/>
      <c r="CS33" s="55"/>
      <c r="CT33" s="67"/>
      <c r="CU33" s="67"/>
      <c r="CV33" s="67"/>
      <c r="CW33" s="67"/>
      <c r="CX33" s="67"/>
    </row>
    <row r="34" ht="19.5" customHeight="1">
      <c r="A34" s="46" t="s">
        <v>112</v>
      </c>
      <c r="B34" s="47" t="s">
        <v>108</v>
      </c>
      <c r="C34" s="48"/>
      <c r="D34" s="48"/>
      <c r="E34" s="48"/>
      <c r="F34" s="49">
        <f>IFERROR(MINIFS(F35:F44,J35:J44,"&lt;&gt;삭제"),"")</f>
        <v>46193</v>
      </c>
      <c r="G34" s="49">
        <f>IFERROR(MAXIFS(G35:G44,J35:J44,"&lt;&gt;삭제"),"")</f>
        <v>46230</v>
      </c>
      <c r="H34" s="50">
        <f t="shared" si="1"/>
        <v>38</v>
      </c>
      <c r="I34" s="51">
        <f>IFERROR((IF(J35&lt;&gt;"삭제",I35,0)+IF(J37&lt;&gt;"삭제",I37,0)+IF(J38&lt;&gt;"삭제",I38,0)+IF(J40&lt;&gt;"삭제",I40,0)+IF(J41&lt;&gt;"삭제",I41,0)+IF(J43&lt;&gt;"삭제",I43,0)+IF(J44&lt;&gt;"삭제",I44,0))/(IF(J35&lt;&gt;"삭제",1,0)+IF(J37&lt;&gt;"삭제",1,0)+IF(J38&lt;&gt;"삭제",1,0)+IF(J40&lt;&gt;"삭제",1,0)+IF(J41&lt;&gt;"삭제",1,0)+IF(J43&lt;&gt;"삭제",1,0)+IF(J44&lt;&gt;"삭제",1,0)),0)</f>
        <v>0</v>
      </c>
      <c r="J34" s="50"/>
      <c r="K34" s="52"/>
      <c r="L34" s="53"/>
      <c r="M34" s="54"/>
      <c r="N34" s="27"/>
      <c r="O34" s="27"/>
      <c r="P34" s="27"/>
      <c r="Q34" s="27"/>
      <c r="R34" s="27"/>
      <c r="S34" s="55"/>
      <c r="T34" s="55"/>
      <c r="U34" s="27"/>
      <c r="V34" s="27"/>
      <c r="W34" s="27"/>
      <c r="X34" s="27"/>
      <c r="Y34" s="27"/>
      <c r="Z34" s="56"/>
      <c r="AA34" s="55"/>
      <c r="AB34" s="27"/>
      <c r="AC34" s="27"/>
      <c r="AD34" s="27"/>
      <c r="AE34" s="27"/>
      <c r="AF34" s="27"/>
      <c r="AG34" s="55"/>
      <c r="AH34" s="55"/>
      <c r="AI34" s="27"/>
      <c r="AJ34" s="27"/>
      <c r="AK34" s="27"/>
      <c r="AL34" s="27"/>
      <c r="AM34" s="27"/>
      <c r="AN34" s="55"/>
      <c r="AO34" s="55"/>
      <c r="AP34" s="27"/>
      <c r="AQ34" s="27"/>
      <c r="AR34" s="27"/>
      <c r="AS34" s="27"/>
      <c r="AT34" s="27"/>
      <c r="AU34" s="55"/>
      <c r="AV34" s="55"/>
      <c r="AW34" s="27"/>
      <c r="AX34" s="27"/>
      <c r="AY34" s="27"/>
      <c r="AZ34" s="27"/>
      <c r="BA34" s="27"/>
      <c r="BB34" s="55"/>
      <c r="BC34" s="55"/>
      <c r="BD34" s="27"/>
      <c r="BE34" s="27"/>
      <c r="BF34" s="27"/>
      <c r="BG34" s="27"/>
      <c r="BH34" s="27"/>
      <c r="BI34" s="55"/>
      <c r="BJ34" s="55"/>
      <c r="BK34" s="27"/>
      <c r="BL34" s="27"/>
      <c r="BM34" s="27"/>
      <c r="BN34" s="27"/>
      <c r="BO34" s="27"/>
      <c r="BP34" s="55"/>
      <c r="BQ34" s="55"/>
      <c r="BR34" s="27"/>
      <c r="BS34" s="27"/>
      <c r="BT34" s="27"/>
      <c r="BU34" s="27"/>
      <c r="BV34" s="27"/>
      <c r="BW34" s="55"/>
      <c r="BX34" s="55"/>
      <c r="BY34" s="27"/>
      <c r="BZ34" s="27"/>
      <c r="CA34" s="27"/>
      <c r="CB34" s="27"/>
      <c r="CC34" s="27"/>
      <c r="CD34" s="55"/>
      <c r="CE34" s="55"/>
      <c r="CF34" s="27"/>
      <c r="CG34" s="27"/>
      <c r="CH34" s="27"/>
      <c r="CI34" s="27"/>
      <c r="CJ34" s="27"/>
      <c r="CK34" s="55"/>
      <c r="CL34" s="55"/>
      <c r="CM34" s="27"/>
      <c r="CN34" s="27"/>
      <c r="CO34" s="27"/>
      <c r="CP34" s="27"/>
      <c r="CQ34" s="27"/>
      <c r="CR34" s="56"/>
      <c r="CS34" s="55"/>
      <c r="CT34" s="27"/>
      <c r="CU34" s="27"/>
      <c r="CV34" s="27"/>
      <c r="CW34" s="27"/>
      <c r="CX34" s="27"/>
    </row>
    <row r="35" ht="19.5" customHeight="1" outlineLevel="1">
      <c r="A35" s="57" t="s">
        <v>113</v>
      </c>
      <c r="B35" s="58" t="s">
        <v>114</v>
      </c>
      <c r="C35" s="59" t="s">
        <v>108</v>
      </c>
      <c r="D35" s="59" t="s">
        <v>115</v>
      </c>
      <c r="E35" s="60" t="s">
        <v>64</v>
      </c>
      <c r="F35" s="61">
        <v>46193.0</v>
      </c>
      <c r="G35" s="61">
        <v>46196.0</v>
      </c>
      <c r="H35" s="62">
        <f t="shared" si="1"/>
        <v>4</v>
      </c>
      <c r="I35" s="63">
        <f>IF(J35="삭제",0,IF(J35="완료",1,IFERROR(MIN(0.99,MAX(0,($F$3-F35)/(G35-F35))),0)))</f>
        <v>0</v>
      </c>
      <c r="J35" s="64" t="s">
        <v>16</v>
      </c>
      <c r="K35" s="65" t="str">
        <f t="shared" ref="K35:K44" si="7">IF(AND(G35&lt;&gt;"",G35&lt;$F$3,J35&lt;&gt;"완료",J35&lt;&gt;"삭제",J35&lt;&gt;""),"⚠ 마감 초과",IF(AND(G35&lt;&gt;"",G35&gt;$F$3,J35="완료"),"⚡ 미래 날짜 완료 이상",""))</f>
        <v/>
      </c>
      <c r="L35" s="66"/>
      <c r="M35" s="16"/>
      <c r="N35" s="67"/>
      <c r="O35" s="67"/>
      <c r="P35" s="67"/>
      <c r="Q35" s="67"/>
      <c r="R35" s="67"/>
      <c r="S35" s="55"/>
      <c r="T35" s="55"/>
      <c r="U35" s="67"/>
      <c r="V35" s="67"/>
      <c r="W35" s="67"/>
      <c r="X35" s="67"/>
      <c r="Y35" s="67"/>
      <c r="Z35" s="56"/>
      <c r="AA35" s="55"/>
      <c r="AB35" s="67"/>
      <c r="AC35" s="67"/>
      <c r="AD35" s="67"/>
      <c r="AE35" s="67"/>
      <c r="AF35" s="67"/>
      <c r="AG35" s="55"/>
      <c r="AH35" s="55"/>
      <c r="AI35" s="67"/>
      <c r="AJ35" s="67"/>
      <c r="AK35" s="67"/>
      <c r="AL35" s="67"/>
      <c r="AM35" s="67"/>
      <c r="AN35" s="55"/>
      <c r="AO35" s="55"/>
      <c r="AP35" s="67"/>
      <c r="AQ35" s="67"/>
      <c r="AR35" s="67"/>
      <c r="AS35" s="67"/>
      <c r="AT35" s="67"/>
      <c r="AU35" s="55"/>
      <c r="AV35" s="55"/>
      <c r="AW35" s="67"/>
      <c r="AX35" s="67"/>
      <c r="AY35" s="67"/>
      <c r="AZ35" s="67"/>
      <c r="BA35" s="67"/>
      <c r="BB35" s="55"/>
      <c r="BC35" s="55"/>
      <c r="BD35" s="67"/>
      <c r="BE35" s="67"/>
      <c r="BF35" s="67"/>
      <c r="BG35" s="67"/>
      <c r="BH35" s="67"/>
      <c r="BI35" s="55"/>
      <c r="BJ35" s="55"/>
      <c r="BK35" s="67"/>
      <c r="BL35" s="67"/>
      <c r="BM35" s="67"/>
      <c r="BN35" s="67"/>
      <c r="BO35" s="67"/>
      <c r="BP35" s="55"/>
      <c r="BQ35" s="55"/>
      <c r="BR35" s="67"/>
      <c r="BS35" s="67"/>
      <c r="BT35" s="67"/>
      <c r="BU35" s="67"/>
      <c r="BV35" s="67"/>
      <c r="BW35" s="55"/>
      <c r="BX35" s="55"/>
      <c r="BY35" s="67"/>
      <c r="BZ35" s="67"/>
      <c r="CA35" s="67"/>
      <c r="CB35" s="67"/>
      <c r="CC35" s="67"/>
      <c r="CD35" s="55"/>
      <c r="CE35" s="55"/>
      <c r="CF35" s="67"/>
      <c r="CG35" s="67"/>
      <c r="CH35" s="67"/>
      <c r="CI35" s="67"/>
      <c r="CJ35" s="67"/>
      <c r="CK35" s="55"/>
      <c r="CL35" s="55"/>
      <c r="CM35" s="67"/>
      <c r="CN35" s="67"/>
      <c r="CO35" s="67"/>
      <c r="CP35" s="67"/>
      <c r="CQ35" s="67"/>
      <c r="CR35" s="56"/>
      <c r="CS35" s="55"/>
      <c r="CT35" s="67"/>
      <c r="CU35" s="67"/>
      <c r="CV35" s="67"/>
      <c r="CW35" s="67"/>
      <c r="CX35" s="67"/>
    </row>
    <row r="36" ht="19.5" customHeight="1" outlineLevel="1">
      <c r="A36" s="57" t="s">
        <v>116</v>
      </c>
      <c r="B36" s="58" t="s">
        <v>117</v>
      </c>
      <c r="C36" s="59" t="s">
        <v>108</v>
      </c>
      <c r="D36" s="59" t="s">
        <v>115</v>
      </c>
      <c r="E36" s="60" t="s">
        <v>64</v>
      </c>
      <c r="F36" s="61">
        <f>IFERROR(MINIFS(F37:F38,J37:J38,"&lt;&gt;삭제"),"")</f>
        <v>46196</v>
      </c>
      <c r="G36" s="61">
        <f>IFERROR(MAXIFS(G37:G38,J37:J38,"&lt;&gt;삭제"),"")</f>
        <v>46216</v>
      </c>
      <c r="H36" s="62">
        <f t="shared" si="1"/>
        <v>21</v>
      </c>
      <c r="I36" s="63">
        <f>IFERROR((IF(J37&lt;&gt;"삭제",I37,0)+IF(J38&lt;&gt;"삭제",I38,0))/(IF(J37&lt;&gt;"삭제",1,0)+IF(J38&lt;&gt;"삭제",1,0)),0)</f>
        <v>0</v>
      </c>
      <c r="J36" s="64" t="s">
        <v>16</v>
      </c>
      <c r="K36" s="65" t="str">
        <f t="shared" si="7"/>
        <v/>
      </c>
      <c r="L36" s="66"/>
      <c r="M36" s="16"/>
      <c r="N36" s="67"/>
      <c r="O36" s="67"/>
      <c r="P36" s="67"/>
      <c r="Q36" s="67"/>
      <c r="R36" s="67"/>
      <c r="S36" s="55"/>
      <c r="T36" s="55"/>
      <c r="U36" s="67"/>
      <c r="V36" s="67"/>
      <c r="W36" s="67"/>
      <c r="X36" s="67"/>
      <c r="Y36" s="67"/>
      <c r="Z36" s="56"/>
      <c r="AA36" s="55"/>
      <c r="AB36" s="67"/>
      <c r="AC36" s="67"/>
      <c r="AD36" s="67"/>
      <c r="AE36" s="67"/>
      <c r="AF36" s="67"/>
      <c r="AG36" s="55"/>
      <c r="AH36" s="55"/>
      <c r="AI36" s="67"/>
      <c r="AJ36" s="67"/>
      <c r="AK36" s="67"/>
      <c r="AL36" s="67"/>
      <c r="AM36" s="67"/>
      <c r="AN36" s="55"/>
      <c r="AO36" s="55"/>
      <c r="AP36" s="67"/>
      <c r="AQ36" s="67"/>
      <c r="AR36" s="67"/>
      <c r="AS36" s="67"/>
      <c r="AT36" s="67"/>
      <c r="AU36" s="55"/>
      <c r="AV36" s="55"/>
      <c r="AW36" s="67"/>
      <c r="AX36" s="67"/>
      <c r="AY36" s="67"/>
      <c r="AZ36" s="67"/>
      <c r="BA36" s="67"/>
      <c r="BB36" s="55"/>
      <c r="BC36" s="55"/>
      <c r="BD36" s="67"/>
      <c r="BE36" s="67"/>
      <c r="BF36" s="67"/>
      <c r="BG36" s="67"/>
      <c r="BH36" s="67"/>
      <c r="BI36" s="55"/>
      <c r="BJ36" s="55"/>
      <c r="BK36" s="67"/>
      <c r="BL36" s="67"/>
      <c r="BM36" s="67"/>
      <c r="BN36" s="67"/>
      <c r="BO36" s="67"/>
      <c r="BP36" s="55"/>
      <c r="BQ36" s="55"/>
      <c r="BR36" s="67"/>
      <c r="BS36" s="67"/>
      <c r="BT36" s="67"/>
      <c r="BU36" s="67"/>
      <c r="BV36" s="67"/>
      <c r="BW36" s="55"/>
      <c r="BX36" s="55"/>
      <c r="BY36" s="67"/>
      <c r="BZ36" s="67"/>
      <c r="CA36" s="67"/>
      <c r="CB36" s="67"/>
      <c r="CC36" s="67"/>
      <c r="CD36" s="55"/>
      <c r="CE36" s="55"/>
      <c r="CF36" s="67"/>
      <c r="CG36" s="67"/>
      <c r="CH36" s="67"/>
      <c r="CI36" s="67"/>
      <c r="CJ36" s="67"/>
      <c r="CK36" s="55"/>
      <c r="CL36" s="55"/>
      <c r="CM36" s="67"/>
      <c r="CN36" s="67"/>
      <c r="CO36" s="67"/>
      <c r="CP36" s="67"/>
      <c r="CQ36" s="67"/>
      <c r="CR36" s="56"/>
      <c r="CS36" s="55"/>
      <c r="CT36" s="67"/>
      <c r="CU36" s="67"/>
      <c r="CV36" s="67"/>
      <c r="CW36" s="67"/>
      <c r="CX36" s="67"/>
    </row>
    <row r="37" ht="19.5" customHeight="1" outlineLevel="2">
      <c r="A37" s="68" t="s">
        <v>118</v>
      </c>
      <c r="B37" s="69" t="s">
        <v>119</v>
      </c>
      <c r="C37" s="59" t="s">
        <v>108</v>
      </c>
      <c r="D37" s="59" t="s">
        <v>115</v>
      </c>
      <c r="E37" s="60" t="s">
        <v>64</v>
      </c>
      <c r="F37" s="70">
        <v>46196.0</v>
      </c>
      <c r="G37" s="70">
        <v>46210.0</v>
      </c>
      <c r="H37" s="71">
        <f t="shared" si="1"/>
        <v>15</v>
      </c>
      <c r="I37" s="72">
        <f t="shared" ref="I37:I38" si="8">IF(J37="삭제",0,IF(J37="완료",1,IFERROR(MIN(0.99,MAX(0,($F$3-F37)/(G37-F37))),0)))</f>
        <v>0</v>
      </c>
      <c r="J37" s="73" t="s">
        <v>16</v>
      </c>
      <c r="K37" s="65" t="str">
        <f t="shared" si="7"/>
        <v/>
      </c>
      <c r="L37" s="66"/>
      <c r="M37" s="16"/>
      <c r="N37" s="67"/>
      <c r="O37" s="67"/>
      <c r="P37" s="67"/>
      <c r="Q37" s="67"/>
      <c r="R37" s="67"/>
      <c r="S37" s="55"/>
      <c r="T37" s="55"/>
      <c r="U37" s="67"/>
      <c r="V37" s="67"/>
      <c r="W37" s="67"/>
      <c r="X37" s="67"/>
      <c r="Y37" s="67"/>
      <c r="Z37" s="56"/>
      <c r="AA37" s="55"/>
      <c r="AB37" s="67"/>
      <c r="AC37" s="67"/>
      <c r="AD37" s="67"/>
      <c r="AE37" s="67"/>
      <c r="AF37" s="67"/>
      <c r="AG37" s="55"/>
      <c r="AH37" s="55"/>
      <c r="AI37" s="67"/>
      <c r="AJ37" s="67"/>
      <c r="AK37" s="67"/>
      <c r="AL37" s="67"/>
      <c r="AM37" s="67"/>
      <c r="AN37" s="55"/>
      <c r="AO37" s="55"/>
      <c r="AP37" s="67"/>
      <c r="AQ37" s="67"/>
      <c r="AR37" s="67"/>
      <c r="AS37" s="67"/>
      <c r="AT37" s="67"/>
      <c r="AU37" s="55"/>
      <c r="AV37" s="55"/>
      <c r="AW37" s="67"/>
      <c r="AX37" s="67"/>
      <c r="AY37" s="67"/>
      <c r="AZ37" s="67"/>
      <c r="BA37" s="67"/>
      <c r="BB37" s="55"/>
      <c r="BC37" s="55"/>
      <c r="BD37" s="67"/>
      <c r="BE37" s="67"/>
      <c r="BF37" s="67"/>
      <c r="BG37" s="67"/>
      <c r="BH37" s="67"/>
      <c r="BI37" s="55"/>
      <c r="BJ37" s="55"/>
      <c r="BK37" s="67"/>
      <c r="BL37" s="67"/>
      <c r="BM37" s="67"/>
      <c r="BN37" s="67"/>
      <c r="BO37" s="67"/>
      <c r="BP37" s="55"/>
      <c r="BQ37" s="55"/>
      <c r="BR37" s="67"/>
      <c r="BS37" s="67"/>
      <c r="BT37" s="67"/>
      <c r="BU37" s="67"/>
      <c r="BV37" s="67"/>
      <c r="BW37" s="55"/>
      <c r="BX37" s="55"/>
      <c r="BY37" s="67"/>
      <c r="BZ37" s="67"/>
      <c r="CA37" s="67"/>
      <c r="CB37" s="67"/>
      <c r="CC37" s="67"/>
      <c r="CD37" s="55"/>
      <c r="CE37" s="55"/>
      <c r="CF37" s="67"/>
      <c r="CG37" s="67"/>
      <c r="CH37" s="67"/>
      <c r="CI37" s="67"/>
      <c r="CJ37" s="67"/>
      <c r="CK37" s="55"/>
      <c r="CL37" s="55"/>
      <c r="CM37" s="67"/>
      <c r="CN37" s="67"/>
      <c r="CO37" s="67"/>
      <c r="CP37" s="67"/>
      <c r="CQ37" s="67"/>
      <c r="CR37" s="56"/>
      <c r="CS37" s="55"/>
      <c r="CT37" s="67"/>
      <c r="CU37" s="67"/>
      <c r="CV37" s="67"/>
      <c r="CW37" s="67"/>
      <c r="CX37" s="67"/>
    </row>
    <row r="38" ht="19.5" customHeight="1" outlineLevel="2">
      <c r="A38" s="68" t="s">
        <v>120</v>
      </c>
      <c r="B38" s="69" t="s">
        <v>121</v>
      </c>
      <c r="C38" s="59" t="s">
        <v>108</v>
      </c>
      <c r="D38" s="59" t="s">
        <v>122</v>
      </c>
      <c r="E38" s="60" t="s">
        <v>91</v>
      </c>
      <c r="F38" s="70">
        <v>46203.0</v>
      </c>
      <c r="G38" s="70">
        <v>46216.0</v>
      </c>
      <c r="H38" s="71">
        <f t="shared" si="1"/>
        <v>14</v>
      </c>
      <c r="I38" s="72">
        <f t="shared" si="8"/>
        <v>0</v>
      </c>
      <c r="J38" s="73" t="s">
        <v>17</v>
      </c>
      <c r="K38" s="65" t="str">
        <f t="shared" si="7"/>
        <v/>
      </c>
      <c r="L38" s="74" t="s">
        <v>123</v>
      </c>
      <c r="M38" s="16"/>
      <c r="N38" s="67"/>
      <c r="O38" s="67"/>
      <c r="P38" s="67"/>
      <c r="Q38" s="67"/>
      <c r="R38" s="67"/>
      <c r="S38" s="55"/>
      <c r="T38" s="55"/>
      <c r="U38" s="67"/>
      <c r="V38" s="67"/>
      <c r="W38" s="67"/>
      <c r="X38" s="67"/>
      <c r="Y38" s="67"/>
      <c r="Z38" s="56"/>
      <c r="AA38" s="55"/>
      <c r="AB38" s="67"/>
      <c r="AC38" s="67"/>
      <c r="AD38" s="67"/>
      <c r="AE38" s="67"/>
      <c r="AF38" s="67"/>
      <c r="AG38" s="55"/>
      <c r="AH38" s="55"/>
      <c r="AI38" s="67"/>
      <c r="AJ38" s="67"/>
      <c r="AK38" s="67"/>
      <c r="AL38" s="67"/>
      <c r="AM38" s="67"/>
      <c r="AN38" s="55"/>
      <c r="AO38" s="55"/>
      <c r="AP38" s="67"/>
      <c r="AQ38" s="67"/>
      <c r="AR38" s="67"/>
      <c r="AS38" s="67"/>
      <c r="AT38" s="67"/>
      <c r="AU38" s="55"/>
      <c r="AV38" s="55"/>
      <c r="AW38" s="67"/>
      <c r="AX38" s="67"/>
      <c r="AY38" s="67"/>
      <c r="AZ38" s="67"/>
      <c r="BA38" s="67"/>
      <c r="BB38" s="55"/>
      <c r="BC38" s="55"/>
      <c r="BD38" s="67"/>
      <c r="BE38" s="67"/>
      <c r="BF38" s="67"/>
      <c r="BG38" s="67"/>
      <c r="BH38" s="67"/>
      <c r="BI38" s="55"/>
      <c r="BJ38" s="55"/>
      <c r="BK38" s="67"/>
      <c r="BL38" s="67"/>
      <c r="BM38" s="67"/>
      <c r="BN38" s="67"/>
      <c r="BO38" s="67"/>
      <c r="BP38" s="55"/>
      <c r="BQ38" s="55"/>
      <c r="BR38" s="67"/>
      <c r="BS38" s="67"/>
      <c r="BT38" s="67"/>
      <c r="BU38" s="67"/>
      <c r="BV38" s="67"/>
      <c r="BW38" s="55"/>
      <c r="BX38" s="55"/>
      <c r="BY38" s="67"/>
      <c r="BZ38" s="67"/>
      <c r="CA38" s="67"/>
      <c r="CB38" s="67"/>
      <c r="CC38" s="67"/>
      <c r="CD38" s="55"/>
      <c r="CE38" s="55"/>
      <c r="CF38" s="67"/>
      <c r="CG38" s="67"/>
      <c r="CH38" s="67"/>
      <c r="CI38" s="67"/>
      <c r="CJ38" s="67"/>
      <c r="CK38" s="55"/>
      <c r="CL38" s="55"/>
      <c r="CM38" s="67"/>
      <c r="CN38" s="67"/>
      <c r="CO38" s="67"/>
      <c r="CP38" s="67"/>
      <c r="CQ38" s="67"/>
      <c r="CR38" s="56"/>
      <c r="CS38" s="55"/>
      <c r="CT38" s="67"/>
      <c r="CU38" s="67"/>
      <c r="CV38" s="67"/>
      <c r="CW38" s="67"/>
      <c r="CX38" s="67"/>
    </row>
    <row r="39" ht="19.5" customHeight="1" outlineLevel="1">
      <c r="A39" s="57" t="s">
        <v>124</v>
      </c>
      <c r="B39" s="58" t="s">
        <v>125</v>
      </c>
      <c r="C39" s="59" t="s">
        <v>108</v>
      </c>
      <c r="D39" s="59" t="s">
        <v>126</v>
      </c>
      <c r="E39" s="60" t="s">
        <v>64</v>
      </c>
      <c r="F39" s="61">
        <f>IFERROR(MINIFS(F40:F41,J40:J41,"&lt;&gt;삭제"),"")</f>
        <v>46203</v>
      </c>
      <c r="G39" s="61">
        <f>IFERROR(MAXIFS(G40:G41,J40:J41,"&lt;&gt;삭제"),"")</f>
        <v>46223</v>
      </c>
      <c r="H39" s="62">
        <f t="shared" si="1"/>
        <v>21</v>
      </c>
      <c r="I39" s="63">
        <f>IFERROR((IF(J40&lt;&gt;"삭제",I40,0)+IF(J41&lt;&gt;"삭제",I41,0))/(IF(J40&lt;&gt;"삭제",1,0)+IF(J41&lt;&gt;"삭제",1,0)),0)</f>
        <v>0</v>
      </c>
      <c r="J39" s="64" t="s">
        <v>16</v>
      </c>
      <c r="K39" s="65" t="str">
        <f t="shared" si="7"/>
        <v/>
      </c>
      <c r="L39" s="66"/>
      <c r="M39" s="16"/>
      <c r="N39" s="67"/>
      <c r="O39" s="67"/>
      <c r="P39" s="67"/>
      <c r="Q39" s="67"/>
      <c r="R39" s="67"/>
      <c r="S39" s="55"/>
      <c r="T39" s="55"/>
      <c r="U39" s="67"/>
      <c r="V39" s="67"/>
      <c r="W39" s="67"/>
      <c r="X39" s="67"/>
      <c r="Y39" s="67"/>
      <c r="Z39" s="56"/>
      <c r="AA39" s="55"/>
      <c r="AB39" s="67"/>
      <c r="AC39" s="67"/>
      <c r="AD39" s="67"/>
      <c r="AE39" s="67"/>
      <c r="AF39" s="67"/>
      <c r="AG39" s="55"/>
      <c r="AH39" s="55"/>
      <c r="AI39" s="67"/>
      <c r="AJ39" s="67"/>
      <c r="AK39" s="67"/>
      <c r="AL39" s="67"/>
      <c r="AM39" s="67"/>
      <c r="AN39" s="55"/>
      <c r="AO39" s="55"/>
      <c r="AP39" s="67"/>
      <c r="AQ39" s="67"/>
      <c r="AR39" s="67"/>
      <c r="AS39" s="67"/>
      <c r="AT39" s="67"/>
      <c r="AU39" s="55"/>
      <c r="AV39" s="55"/>
      <c r="AW39" s="67"/>
      <c r="AX39" s="67"/>
      <c r="AY39" s="67"/>
      <c r="AZ39" s="67"/>
      <c r="BA39" s="67"/>
      <c r="BB39" s="55"/>
      <c r="BC39" s="55"/>
      <c r="BD39" s="67"/>
      <c r="BE39" s="67"/>
      <c r="BF39" s="67"/>
      <c r="BG39" s="67"/>
      <c r="BH39" s="67"/>
      <c r="BI39" s="55"/>
      <c r="BJ39" s="55"/>
      <c r="BK39" s="67"/>
      <c r="BL39" s="67"/>
      <c r="BM39" s="67"/>
      <c r="BN39" s="67"/>
      <c r="BO39" s="67"/>
      <c r="BP39" s="55"/>
      <c r="BQ39" s="55"/>
      <c r="BR39" s="67"/>
      <c r="BS39" s="67"/>
      <c r="BT39" s="67"/>
      <c r="BU39" s="67"/>
      <c r="BV39" s="67"/>
      <c r="BW39" s="55"/>
      <c r="BX39" s="55"/>
      <c r="BY39" s="67"/>
      <c r="BZ39" s="67"/>
      <c r="CA39" s="67"/>
      <c r="CB39" s="67"/>
      <c r="CC39" s="67"/>
      <c r="CD39" s="55"/>
      <c r="CE39" s="55"/>
      <c r="CF39" s="67"/>
      <c r="CG39" s="67"/>
      <c r="CH39" s="67"/>
      <c r="CI39" s="67"/>
      <c r="CJ39" s="67"/>
      <c r="CK39" s="55"/>
      <c r="CL39" s="55"/>
      <c r="CM39" s="67"/>
      <c r="CN39" s="67"/>
      <c r="CO39" s="67"/>
      <c r="CP39" s="67"/>
      <c r="CQ39" s="67"/>
      <c r="CR39" s="56"/>
      <c r="CS39" s="55"/>
      <c r="CT39" s="67"/>
      <c r="CU39" s="67"/>
      <c r="CV39" s="67"/>
      <c r="CW39" s="67"/>
      <c r="CX39" s="67"/>
    </row>
    <row r="40" ht="19.5" customHeight="1" outlineLevel="2">
      <c r="A40" s="68" t="s">
        <v>127</v>
      </c>
      <c r="B40" s="69" t="s">
        <v>128</v>
      </c>
      <c r="C40" s="59" t="s">
        <v>108</v>
      </c>
      <c r="D40" s="59" t="s">
        <v>126</v>
      </c>
      <c r="E40" s="60" t="s">
        <v>64</v>
      </c>
      <c r="F40" s="70">
        <v>46203.0</v>
      </c>
      <c r="G40" s="70">
        <v>46216.0</v>
      </c>
      <c r="H40" s="71">
        <f t="shared" si="1"/>
        <v>14</v>
      </c>
      <c r="I40" s="72">
        <f t="shared" ref="I40:I41" si="9">IF(J40="삭제",0,IF(J40="완료",1,IFERROR(MIN(0.99,MAX(0,($F$3-F40)/(G40-F40))),0)))</f>
        <v>0</v>
      </c>
      <c r="J40" s="73" t="s">
        <v>16</v>
      </c>
      <c r="K40" s="65" t="str">
        <f t="shared" si="7"/>
        <v/>
      </c>
      <c r="L40" s="66"/>
      <c r="M40" s="16"/>
      <c r="N40" s="67"/>
      <c r="O40" s="67"/>
      <c r="P40" s="67"/>
      <c r="Q40" s="67"/>
      <c r="R40" s="67"/>
      <c r="S40" s="55"/>
      <c r="T40" s="55"/>
      <c r="U40" s="67"/>
      <c r="V40" s="67"/>
      <c r="W40" s="67"/>
      <c r="X40" s="67"/>
      <c r="Y40" s="67"/>
      <c r="Z40" s="56"/>
      <c r="AA40" s="55"/>
      <c r="AB40" s="67"/>
      <c r="AC40" s="67"/>
      <c r="AD40" s="67"/>
      <c r="AE40" s="67"/>
      <c r="AF40" s="67"/>
      <c r="AG40" s="55"/>
      <c r="AH40" s="55"/>
      <c r="AI40" s="67"/>
      <c r="AJ40" s="67"/>
      <c r="AK40" s="67"/>
      <c r="AL40" s="67"/>
      <c r="AM40" s="67"/>
      <c r="AN40" s="55"/>
      <c r="AO40" s="55"/>
      <c r="AP40" s="67"/>
      <c r="AQ40" s="67"/>
      <c r="AR40" s="67"/>
      <c r="AS40" s="67"/>
      <c r="AT40" s="67"/>
      <c r="AU40" s="55"/>
      <c r="AV40" s="55"/>
      <c r="AW40" s="67"/>
      <c r="AX40" s="67"/>
      <c r="AY40" s="67"/>
      <c r="AZ40" s="67"/>
      <c r="BA40" s="67"/>
      <c r="BB40" s="55"/>
      <c r="BC40" s="55"/>
      <c r="BD40" s="67"/>
      <c r="BE40" s="67"/>
      <c r="BF40" s="67"/>
      <c r="BG40" s="67"/>
      <c r="BH40" s="67"/>
      <c r="BI40" s="55"/>
      <c r="BJ40" s="55"/>
      <c r="BK40" s="67"/>
      <c r="BL40" s="67"/>
      <c r="BM40" s="67"/>
      <c r="BN40" s="67"/>
      <c r="BO40" s="67"/>
      <c r="BP40" s="55"/>
      <c r="BQ40" s="55"/>
      <c r="BR40" s="67"/>
      <c r="BS40" s="67"/>
      <c r="BT40" s="67"/>
      <c r="BU40" s="67"/>
      <c r="BV40" s="67"/>
      <c r="BW40" s="55"/>
      <c r="BX40" s="55"/>
      <c r="BY40" s="67"/>
      <c r="BZ40" s="67"/>
      <c r="CA40" s="67"/>
      <c r="CB40" s="67"/>
      <c r="CC40" s="67"/>
      <c r="CD40" s="55"/>
      <c r="CE40" s="55"/>
      <c r="CF40" s="67"/>
      <c r="CG40" s="67"/>
      <c r="CH40" s="67"/>
      <c r="CI40" s="67"/>
      <c r="CJ40" s="67"/>
      <c r="CK40" s="55"/>
      <c r="CL40" s="55"/>
      <c r="CM40" s="67"/>
      <c r="CN40" s="67"/>
      <c r="CO40" s="67"/>
      <c r="CP40" s="67"/>
      <c r="CQ40" s="67"/>
      <c r="CR40" s="56"/>
      <c r="CS40" s="55"/>
      <c r="CT40" s="67"/>
      <c r="CU40" s="67"/>
      <c r="CV40" s="67"/>
      <c r="CW40" s="67"/>
      <c r="CX40" s="67"/>
    </row>
    <row r="41" ht="19.5" customHeight="1" outlineLevel="2">
      <c r="A41" s="68" t="s">
        <v>129</v>
      </c>
      <c r="B41" s="69" t="s">
        <v>130</v>
      </c>
      <c r="C41" s="59" t="s">
        <v>108</v>
      </c>
      <c r="D41" s="59" t="s">
        <v>126</v>
      </c>
      <c r="E41" s="60" t="s">
        <v>64</v>
      </c>
      <c r="F41" s="70">
        <v>46216.0</v>
      </c>
      <c r="G41" s="70">
        <v>46223.0</v>
      </c>
      <c r="H41" s="71">
        <f t="shared" si="1"/>
        <v>8</v>
      </c>
      <c r="I41" s="72">
        <f t="shared" si="9"/>
        <v>0</v>
      </c>
      <c r="J41" s="73" t="s">
        <v>16</v>
      </c>
      <c r="K41" s="65" t="str">
        <f t="shared" si="7"/>
        <v/>
      </c>
      <c r="L41" s="66"/>
      <c r="M41" s="16"/>
      <c r="N41" s="67"/>
      <c r="O41" s="67"/>
      <c r="P41" s="67"/>
      <c r="Q41" s="67"/>
      <c r="R41" s="67"/>
      <c r="S41" s="55"/>
      <c r="T41" s="55"/>
      <c r="U41" s="67"/>
      <c r="V41" s="67"/>
      <c r="W41" s="67"/>
      <c r="X41" s="67"/>
      <c r="Y41" s="67"/>
      <c r="Z41" s="56"/>
      <c r="AA41" s="55"/>
      <c r="AB41" s="67"/>
      <c r="AC41" s="67"/>
      <c r="AD41" s="67"/>
      <c r="AE41" s="67"/>
      <c r="AF41" s="67"/>
      <c r="AG41" s="55"/>
      <c r="AH41" s="55"/>
      <c r="AI41" s="67"/>
      <c r="AJ41" s="67"/>
      <c r="AK41" s="67"/>
      <c r="AL41" s="67"/>
      <c r="AM41" s="67"/>
      <c r="AN41" s="55"/>
      <c r="AO41" s="55"/>
      <c r="AP41" s="67"/>
      <c r="AQ41" s="67"/>
      <c r="AR41" s="67"/>
      <c r="AS41" s="67"/>
      <c r="AT41" s="67"/>
      <c r="AU41" s="55"/>
      <c r="AV41" s="55"/>
      <c r="AW41" s="67"/>
      <c r="AX41" s="67"/>
      <c r="AY41" s="67"/>
      <c r="AZ41" s="67"/>
      <c r="BA41" s="67"/>
      <c r="BB41" s="55"/>
      <c r="BC41" s="55"/>
      <c r="BD41" s="67"/>
      <c r="BE41" s="67"/>
      <c r="BF41" s="67"/>
      <c r="BG41" s="67"/>
      <c r="BH41" s="67"/>
      <c r="BI41" s="55"/>
      <c r="BJ41" s="55"/>
      <c r="BK41" s="67"/>
      <c r="BL41" s="67"/>
      <c r="BM41" s="67"/>
      <c r="BN41" s="67"/>
      <c r="BO41" s="67"/>
      <c r="BP41" s="55"/>
      <c r="BQ41" s="55"/>
      <c r="BR41" s="67"/>
      <c r="BS41" s="67"/>
      <c r="BT41" s="67"/>
      <c r="BU41" s="67"/>
      <c r="BV41" s="67"/>
      <c r="BW41" s="55"/>
      <c r="BX41" s="55"/>
      <c r="BY41" s="67"/>
      <c r="BZ41" s="67"/>
      <c r="CA41" s="67"/>
      <c r="CB41" s="67"/>
      <c r="CC41" s="67"/>
      <c r="CD41" s="55"/>
      <c r="CE41" s="55"/>
      <c r="CF41" s="67"/>
      <c r="CG41" s="67"/>
      <c r="CH41" s="67"/>
      <c r="CI41" s="67"/>
      <c r="CJ41" s="67"/>
      <c r="CK41" s="55"/>
      <c r="CL41" s="55"/>
      <c r="CM41" s="67"/>
      <c r="CN41" s="67"/>
      <c r="CO41" s="67"/>
      <c r="CP41" s="67"/>
      <c r="CQ41" s="67"/>
      <c r="CR41" s="56"/>
      <c r="CS41" s="55"/>
      <c r="CT41" s="67"/>
      <c r="CU41" s="67"/>
      <c r="CV41" s="67"/>
      <c r="CW41" s="67"/>
      <c r="CX41" s="67"/>
    </row>
    <row r="42" ht="19.5" customHeight="1" outlineLevel="1">
      <c r="A42" s="57" t="s">
        <v>131</v>
      </c>
      <c r="B42" s="58" t="s">
        <v>132</v>
      </c>
      <c r="C42" s="59" t="s">
        <v>133</v>
      </c>
      <c r="D42" s="59" t="s">
        <v>134</v>
      </c>
      <c r="E42" s="60" t="s">
        <v>91</v>
      </c>
      <c r="F42" s="61">
        <f>IFERROR(MINIFS(F43:F44,J43:J44,"&lt;&gt;삭제"),"")</f>
        <v>46224</v>
      </c>
      <c r="G42" s="61">
        <f>IFERROR(MAXIFS(G43:G44,J43:J44,"&lt;&gt;삭제"),"")</f>
        <v>46230</v>
      </c>
      <c r="H42" s="62">
        <f t="shared" si="1"/>
        <v>7</v>
      </c>
      <c r="I42" s="63">
        <f>IFERROR((IF(J43&lt;&gt;"삭제",I43,0)+IF(J44&lt;&gt;"삭제",I44,0))/(IF(J43&lt;&gt;"삭제",1,0)+IF(J44&lt;&gt;"삭제",1,0)),0)</f>
        <v>0</v>
      </c>
      <c r="J42" s="64" t="s">
        <v>16</v>
      </c>
      <c r="K42" s="65" t="str">
        <f t="shared" si="7"/>
        <v/>
      </c>
      <c r="L42" s="66"/>
      <c r="M42" s="16"/>
      <c r="N42" s="67"/>
      <c r="O42" s="67"/>
      <c r="P42" s="67"/>
      <c r="Q42" s="67"/>
      <c r="R42" s="67"/>
      <c r="S42" s="55"/>
      <c r="T42" s="55"/>
      <c r="U42" s="67"/>
      <c r="V42" s="67"/>
      <c r="W42" s="67"/>
      <c r="X42" s="67"/>
      <c r="Y42" s="67"/>
      <c r="Z42" s="56"/>
      <c r="AA42" s="55"/>
      <c r="AB42" s="67"/>
      <c r="AC42" s="67"/>
      <c r="AD42" s="67"/>
      <c r="AE42" s="67"/>
      <c r="AF42" s="67"/>
      <c r="AG42" s="55"/>
      <c r="AH42" s="55"/>
      <c r="AI42" s="67"/>
      <c r="AJ42" s="67"/>
      <c r="AK42" s="67"/>
      <c r="AL42" s="67"/>
      <c r="AM42" s="67"/>
      <c r="AN42" s="55"/>
      <c r="AO42" s="55"/>
      <c r="AP42" s="67"/>
      <c r="AQ42" s="67"/>
      <c r="AR42" s="67"/>
      <c r="AS42" s="67"/>
      <c r="AT42" s="67"/>
      <c r="AU42" s="55"/>
      <c r="AV42" s="55"/>
      <c r="AW42" s="67"/>
      <c r="AX42" s="67"/>
      <c r="AY42" s="67"/>
      <c r="AZ42" s="67"/>
      <c r="BA42" s="67"/>
      <c r="BB42" s="55"/>
      <c r="BC42" s="55"/>
      <c r="BD42" s="67"/>
      <c r="BE42" s="67"/>
      <c r="BF42" s="67"/>
      <c r="BG42" s="67"/>
      <c r="BH42" s="67"/>
      <c r="BI42" s="55"/>
      <c r="BJ42" s="55"/>
      <c r="BK42" s="67"/>
      <c r="BL42" s="67"/>
      <c r="BM42" s="67"/>
      <c r="BN42" s="67"/>
      <c r="BO42" s="67"/>
      <c r="BP42" s="55"/>
      <c r="BQ42" s="55"/>
      <c r="BR42" s="67"/>
      <c r="BS42" s="67"/>
      <c r="BT42" s="67"/>
      <c r="BU42" s="67"/>
      <c r="BV42" s="67"/>
      <c r="BW42" s="55"/>
      <c r="BX42" s="55"/>
      <c r="BY42" s="67"/>
      <c r="BZ42" s="67"/>
      <c r="CA42" s="67"/>
      <c r="CB42" s="67"/>
      <c r="CC42" s="67"/>
      <c r="CD42" s="55"/>
      <c r="CE42" s="55"/>
      <c r="CF42" s="67"/>
      <c r="CG42" s="67"/>
      <c r="CH42" s="67"/>
      <c r="CI42" s="67"/>
      <c r="CJ42" s="67"/>
      <c r="CK42" s="55"/>
      <c r="CL42" s="55"/>
      <c r="CM42" s="67"/>
      <c r="CN42" s="67"/>
      <c r="CO42" s="67"/>
      <c r="CP42" s="67"/>
      <c r="CQ42" s="67"/>
      <c r="CR42" s="56"/>
      <c r="CS42" s="55"/>
      <c r="CT42" s="67"/>
      <c r="CU42" s="67"/>
      <c r="CV42" s="67"/>
      <c r="CW42" s="67"/>
      <c r="CX42" s="67"/>
    </row>
    <row r="43" ht="19.5" customHeight="1" outlineLevel="2">
      <c r="A43" s="68" t="s">
        <v>135</v>
      </c>
      <c r="B43" s="69" t="s">
        <v>136</v>
      </c>
      <c r="C43" s="59" t="s">
        <v>133</v>
      </c>
      <c r="D43" s="59" t="s">
        <v>134</v>
      </c>
      <c r="E43" s="60" t="s">
        <v>91</v>
      </c>
      <c r="F43" s="70">
        <v>46224.0</v>
      </c>
      <c r="G43" s="70">
        <v>46228.0</v>
      </c>
      <c r="H43" s="71">
        <f t="shared" si="1"/>
        <v>5</v>
      </c>
      <c r="I43" s="72">
        <f t="shared" ref="I43:I44" si="10">IF(J43="삭제",0,IF(J43="완료",1,IFERROR(MIN(0.99,MAX(0,($F$3-F43)/(G43-F43))),0)))</f>
        <v>0</v>
      </c>
      <c r="J43" s="73" t="s">
        <v>16</v>
      </c>
      <c r="K43" s="65" t="str">
        <f t="shared" si="7"/>
        <v/>
      </c>
      <c r="L43" s="66"/>
      <c r="M43" s="16"/>
      <c r="N43" s="67"/>
      <c r="O43" s="67"/>
      <c r="P43" s="67"/>
      <c r="Q43" s="67"/>
      <c r="R43" s="67"/>
      <c r="S43" s="55"/>
      <c r="T43" s="55"/>
      <c r="U43" s="67"/>
      <c r="V43" s="67"/>
      <c r="W43" s="67"/>
      <c r="X43" s="67"/>
      <c r="Y43" s="67"/>
      <c r="Z43" s="56"/>
      <c r="AA43" s="55"/>
      <c r="AB43" s="67"/>
      <c r="AC43" s="67"/>
      <c r="AD43" s="67"/>
      <c r="AE43" s="67"/>
      <c r="AF43" s="67"/>
      <c r="AG43" s="55"/>
      <c r="AH43" s="55"/>
      <c r="AI43" s="67"/>
      <c r="AJ43" s="67"/>
      <c r="AK43" s="67"/>
      <c r="AL43" s="67"/>
      <c r="AM43" s="67"/>
      <c r="AN43" s="55"/>
      <c r="AO43" s="55"/>
      <c r="AP43" s="67"/>
      <c r="AQ43" s="67"/>
      <c r="AR43" s="67"/>
      <c r="AS43" s="67"/>
      <c r="AT43" s="67"/>
      <c r="AU43" s="55"/>
      <c r="AV43" s="55"/>
      <c r="AW43" s="67"/>
      <c r="AX43" s="67"/>
      <c r="AY43" s="67"/>
      <c r="AZ43" s="67"/>
      <c r="BA43" s="67"/>
      <c r="BB43" s="55"/>
      <c r="BC43" s="55"/>
      <c r="BD43" s="67"/>
      <c r="BE43" s="67"/>
      <c r="BF43" s="67"/>
      <c r="BG43" s="67"/>
      <c r="BH43" s="67"/>
      <c r="BI43" s="55"/>
      <c r="BJ43" s="55"/>
      <c r="BK43" s="67"/>
      <c r="BL43" s="67"/>
      <c r="BM43" s="67"/>
      <c r="BN43" s="67"/>
      <c r="BO43" s="67"/>
      <c r="BP43" s="55"/>
      <c r="BQ43" s="55"/>
      <c r="BR43" s="67"/>
      <c r="BS43" s="67"/>
      <c r="BT43" s="67"/>
      <c r="BU43" s="67"/>
      <c r="BV43" s="67"/>
      <c r="BW43" s="55"/>
      <c r="BX43" s="55"/>
      <c r="BY43" s="67"/>
      <c r="BZ43" s="67"/>
      <c r="CA43" s="67"/>
      <c r="CB43" s="67"/>
      <c r="CC43" s="67"/>
      <c r="CD43" s="55"/>
      <c r="CE43" s="55"/>
      <c r="CF43" s="67"/>
      <c r="CG43" s="67"/>
      <c r="CH43" s="67"/>
      <c r="CI43" s="67"/>
      <c r="CJ43" s="67"/>
      <c r="CK43" s="55"/>
      <c r="CL43" s="55"/>
      <c r="CM43" s="67"/>
      <c r="CN43" s="67"/>
      <c r="CO43" s="67"/>
      <c r="CP43" s="67"/>
      <c r="CQ43" s="67"/>
      <c r="CR43" s="56"/>
      <c r="CS43" s="55"/>
      <c r="CT43" s="67"/>
      <c r="CU43" s="67"/>
      <c r="CV43" s="67"/>
      <c r="CW43" s="67"/>
      <c r="CX43" s="67"/>
    </row>
    <row r="44" ht="19.5" customHeight="1" outlineLevel="2">
      <c r="A44" s="68" t="s">
        <v>137</v>
      </c>
      <c r="B44" s="69" t="s">
        <v>138</v>
      </c>
      <c r="C44" s="59" t="s">
        <v>133</v>
      </c>
      <c r="D44" s="59" t="s">
        <v>134</v>
      </c>
      <c r="E44" s="60" t="s">
        <v>91</v>
      </c>
      <c r="F44" s="70">
        <v>46228.0</v>
      </c>
      <c r="G44" s="70">
        <v>46230.0</v>
      </c>
      <c r="H44" s="71">
        <f t="shared" si="1"/>
        <v>3</v>
      </c>
      <c r="I44" s="72">
        <f t="shared" si="10"/>
        <v>0</v>
      </c>
      <c r="J44" s="73" t="s">
        <v>16</v>
      </c>
      <c r="K44" s="65" t="str">
        <f t="shared" si="7"/>
        <v/>
      </c>
      <c r="L44" s="66"/>
      <c r="M44" s="16"/>
      <c r="N44" s="67"/>
      <c r="O44" s="67"/>
      <c r="P44" s="67"/>
      <c r="Q44" s="67"/>
      <c r="R44" s="67"/>
      <c r="S44" s="55"/>
      <c r="T44" s="55"/>
      <c r="U44" s="67"/>
      <c r="V44" s="67"/>
      <c r="W44" s="67"/>
      <c r="X44" s="67"/>
      <c r="Y44" s="67"/>
      <c r="Z44" s="56"/>
      <c r="AA44" s="55"/>
      <c r="AB44" s="67"/>
      <c r="AC44" s="67"/>
      <c r="AD44" s="67"/>
      <c r="AE44" s="67"/>
      <c r="AF44" s="67"/>
      <c r="AG44" s="55"/>
      <c r="AH44" s="55"/>
      <c r="AI44" s="67"/>
      <c r="AJ44" s="67"/>
      <c r="AK44" s="67"/>
      <c r="AL44" s="67"/>
      <c r="AM44" s="67"/>
      <c r="AN44" s="55"/>
      <c r="AO44" s="55"/>
      <c r="AP44" s="67"/>
      <c r="AQ44" s="67"/>
      <c r="AR44" s="67"/>
      <c r="AS44" s="67"/>
      <c r="AT44" s="67"/>
      <c r="AU44" s="55"/>
      <c r="AV44" s="55"/>
      <c r="AW44" s="67"/>
      <c r="AX44" s="67"/>
      <c r="AY44" s="67"/>
      <c r="AZ44" s="67"/>
      <c r="BA44" s="67"/>
      <c r="BB44" s="55"/>
      <c r="BC44" s="55"/>
      <c r="BD44" s="67"/>
      <c r="BE44" s="67"/>
      <c r="BF44" s="67"/>
      <c r="BG44" s="67"/>
      <c r="BH44" s="67"/>
      <c r="BI44" s="55"/>
      <c r="BJ44" s="55"/>
      <c r="BK44" s="67"/>
      <c r="BL44" s="67"/>
      <c r="BM44" s="67"/>
      <c r="BN44" s="67"/>
      <c r="BO44" s="67"/>
      <c r="BP44" s="55"/>
      <c r="BQ44" s="55"/>
      <c r="BR44" s="67"/>
      <c r="BS44" s="67"/>
      <c r="BT44" s="67"/>
      <c r="BU44" s="67"/>
      <c r="BV44" s="67"/>
      <c r="BW44" s="55"/>
      <c r="BX44" s="55"/>
      <c r="BY44" s="67"/>
      <c r="BZ44" s="67"/>
      <c r="CA44" s="67"/>
      <c r="CB44" s="67"/>
      <c r="CC44" s="67"/>
      <c r="CD44" s="55"/>
      <c r="CE44" s="55"/>
      <c r="CF44" s="67"/>
      <c r="CG44" s="67"/>
      <c r="CH44" s="67"/>
      <c r="CI44" s="67"/>
      <c r="CJ44" s="67"/>
      <c r="CK44" s="55"/>
      <c r="CL44" s="55"/>
      <c r="CM44" s="67"/>
      <c r="CN44" s="67"/>
      <c r="CO44" s="67"/>
      <c r="CP44" s="67"/>
      <c r="CQ44" s="67"/>
      <c r="CR44" s="56"/>
      <c r="CS44" s="55"/>
      <c r="CT44" s="67"/>
      <c r="CU44" s="67"/>
      <c r="CV44" s="67"/>
      <c r="CW44" s="67"/>
      <c r="CX44" s="67"/>
    </row>
    <row r="45" ht="19.5" customHeight="1">
      <c r="A45" s="46" t="s">
        <v>139</v>
      </c>
      <c r="B45" s="47" t="s">
        <v>140</v>
      </c>
      <c r="C45" s="48"/>
      <c r="D45" s="48"/>
      <c r="E45" s="48"/>
      <c r="F45" s="49">
        <f>IFERROR(MINIFS(F46:F49,J46:J49,"&lt;&gt;삭제"),"")</f>
        <v>46168</v>
      </c>
      <c r="G45" s="49">
        <f>IFERROR(MAXIFS(G46:G49,J46:J49,"&lt;&gt;삭제"),"")</f>
        <v>46237</v>
      </c>
      <c r="H45" s="50">
        <f t="shared" si="1"/>
        <v>70</v>
      </c>
      <c r="I45" s="51">
        <f>IFERROR((IF(J46&lt;&gt;"삭제",I46,0)+IF(J47&lt;&gt;"삭제",I47,0)+IF(J48&lt;&gt;"삭제",I48,0)+IF(J49&lt;&gt;"삭제",I49,0))/(IF(J46&lt;&gt;"삭제",1,0)+IF(J47&lt;&gt;"삭제",1,0)+IF(J48&lt;&gt;"삭제",1,0)+IF(J49&lt;&gt;"삭제",1,0)),0)</f>
        <v>0.4648913043</v>
      </c>
      <c r="J45" s="50"/>
      <c r="K45" s="52"/>
      <c r="L45" s="53"/>
      <c r="M45" s="54"/>
      <c r="N45" s="27"/>
      <c r="O45" s="27"/>
      <c r="P45" s="27"/>
      <c r="Q45" s="27"/>
      <c r="R45" s="27"/>
      <c r="S45" s="55"/>
      <c r="T45" s="55"/>
      <c r="U45" s="27"/>
      <c r="V45" s="27"/>
      <c r="W45" s="27"/>
      <c r="X45" s="27"/>
      <c r="Y45" s="27"/>
      <c r="Z45" s="56"/>
      <c r="AA45" s="55"/>
      <c r="AB45" s="27"/>
      <c r="AC45" s="27"/>
      <c r="AD45" s="27"/>
      <c r="AE45" s="27"/>
      <c r="AF45" s="27"/>
      <c r="AG45" s="55"/>
      <c r="AH45" s="55"/>
      <c r="AI45" s="27"/>
      <c r="AJ45" s="27"/>
      <c r="AK45" s="27"/>
      <c r="AL45" s="27"/>
      <c r="AM45" s="27"/>
      <c r="AN45" s="55"/>
      <c r="AO45" s="55"/>
      <c r="AP45" s="27"/>
      <c r="AQ45" s="27"/>
      <c r="AR45" s="27"/>
      <c r="AS45" s="27"/>
      <c r="AT45" s="27"/>
      <c r="AU45" s="55"/>
      <c r="AV45" s="55"/>
      <c r="AW45" s="27"/>
      <c r="AX45" s="27"/>
      <c r="AY45" s="27"/>
      <c r="AZ45" s="27"/>
      <c r="BA45" s="27"/>
      <c r="BB45" s="55"/>
      <c r="BC45" s="55"/>
      <c r="BD45" s="27"/>
      <c r="BE45" s="27"/>
      <c r="BF45" s="27"/>
      <c r="BG45" s="27"/>
      <c r="BH45" s="27"/>
      <c r="BI45" s="55"/>
      <c r="BJ45" s="55"/>
      <c r="BK45" s="27"/>
      <c r="BL45" s="27"/>
      <c r="BM45" s="27"/>
      <c r="BN45" s="27"/>
      <c r="BO45" s="27"/>
      <c r="BP45" s="55"/>
      <c r="BQ45" s="55"/>
      <c r="BR45" s="27"/>
      <c r="BS45" s="27"/>
      <c r="BT45" s="27"/>
      <c r="BU45" s="27"/>
      <c r="BV45" s="27"/>
      <c r="BW45" s="55"/>
      <c r="BX45" s="55"/>
      <c r="BY45" s="27"/>
      <c r="BZ45" s="27"/>
      <c r="CA45" s="27"/>
      <c r="CB45" s="27"/>
      <c r="CC45" s="27"/>
      <c r="CD45" s="55"/>
      <c r="CE45" s="55"/>
      <c r="CF45" s="27"/>
      <c r="CG45" s="27"/>
      <c r="CH45" s="27"/>
      <c r="CI45" s="27"/>
      <c r="CJ45" s="27"/>
      <c r="CK45" s="55"/>
      <c r="CL45" s="55"/>
      <c r="CM45" s="27"/>
      <c r="CN45" s="27"/>
      <c r="CO45" s="27"/>
      <c r="CP45" s="27"/>
      <c r="CQ45" s="27"/>
      <c r="CR45" s="56"/>
      <c r="CS45" s="55"/>
      <c r="CT45" s="27"/>
      <c r="CU45" s="27"/>
      <c r="CV45" s="27"/>
      <c r="CW45" s="27"/>
      <c r="CX45" s="27"/>
    </row>
    <row r="46" ht="19.5" customHeight="1" outlineLevel="1">
      <c r="A46" s="57" t="s">
        <v>141</v>
      </c>
      <c r="B46" s="58" t="s">
        <v>142</v>
      </c>
      <c r="C46" s="59" t="s">
        <v>11</v>
      </c>
      <c r="D46" s="59" t="s">
        <v>54</v>
      </c>
      <c r="E46" s="60" t="s">
        <v>55</v>
      </c>
      <c r="F46" s="61">
        <v>46168.0</v>
      </c>
      <c r="G46" s="61">
        <v>46237.0</v>
      </c>
      <c r="H46" s="62">
        <f t="shared" si="1"/>
        <v>70</v>
      </c>
      <c r="I46" s="63">
        <f t="shared" ref="I46:I49" si="11">IF(J46="삭제",0,IF(J46="완료",1,IFERROR(MIN(0.99,MAX(0,($F$3-F46)/(G46-F46))),0)))</f>
        <v>0.2898550725</v>
      </c>
      <c r="J46" s="64" t="s">
        <v>73</v>
      </c>
      <c r="K46" s="65" t="str">
        <f t="shared" ref="K46:K49" si="12">IF(AND(G46&lt;&gt;"",G46&lt;$F$3,J46&lt;&gt;"완료",J46&lt;&gt;"삭제",J46&lt;&gt;""),"⚠ 마감 초과",IF(AND(G46&lt;&gt;"",G46&gt;$F$3,J46="완료"),"⚡ 미래 날짜 완료 이상",""))</f>
        <v/>
      </c>
      <c r="L46" s="66"/>
      <c r="M46" s="16"/>
      <c r="N46" s="67"/>
      <c r="O46" s="67"/>
      <c r="P46" s="67"/>
      <c r="Q46" s="67"/>
      <c r="R46" s="67"/>
      <c r="S46" s="55"/>
      <c r="T46" s="55"/>
      <c r="U46" s="67"/>
      <c r="V46" s="67"/>
      <c r="W46" s="67"/>
      <c r="X46" s="67"/>
      <c r="Y46" s="67"/>
      <c r="Z46" s="56"/>
      <c r="AA46" s="55"/>
      <c r="AB46" s="67"/>
      <c r="AC46" s="67"/>
      <c r="AD46" s="67"/>
      <c r="AE46" s="67"/>
      <c r="AF46" s="67"/>
      <c r="AG46" s="55"/>
      <c r="AH46" s="55"/>
      <c r="AI46" s="67"/>
      <c r="AJ46" s="67"/>
      <c r="AK46" s="67"/>
      <c r="AL46" s="67"/>
      <c r="AM46" s="67"/>
      <c r="AN46" s="55"/>
      <c r="AO46" s="55"/>
      <c r="AP46" s="67"/>
      <c r="AQ46" s="67"/>
      <c r="AR46" s="67"/>
      <c r="AS46" s="67"/>
      <c r="AT46" s="67"/>
      <c r="AU46" s="55"/>
      <c r="AV46" s="55"/>
      <c r="AW46" s="67"/>
      <c r="AX46" s="67"/>
      <c r="AY46" s="67"/>
      <c r="AZ46" s="67"/>
      <c r="BA46" s="67"/>
      <c r="BB46" s="55"/>
      <c r="BC46" s="55"/>
      <c r="BD46" s="67"/>
      <c r="BE46" s="67"/>
      <c r="BF46" s="67"/>
      <c r="BG46" s="67"/>
      <c r="BH46" s="67"/>
      <c r="BI46" s="55"/>
      <c r="BJ46" s="55"/>
      <c r="BK46" s="67"/>
      <c r="BL46" s="67"/>
      <c r="BM46" s="67"/>
      <c r="BN46" s="67"/>
      <c r="BO46" s="67"/>
      <c r="BP46" s="55"/>
      <c r="BQ46" s="55"/>
      <c r="BR46" s="67"/>
      <c r="BS46" s="67"/>
      <c r="BT46" s="67"/>
      <c r="BU46" s="67"/>
      <c r="BV46" s="67"/>
      <c r="BW46" s="55"/>
      <c r="BX46" s="55"/>
      <c r="BY46" s="67"/>
      <c r="BZ46" s="67"/>
      <c r="CA46" s="67"/>
      <c r="CB46" s="67"/>
      <c r="CC46" s="67"/>
      <c r="CD46" s="55"/>
      <c r="CE46" s="55"/>
      <c r="CF46" s="67"/>
      <c r="CG46" s="67"/>
      <c r="CH46" s="67"/>
      <c r="CI46" s="67"/>
      <c r="CJ46" s="67"/>
      <c r="CK46" s="55"/>
      <c r="CL46" s="55"/>
      <c r="CM46" s="67"/>
      <c r="CN46" s="67"/>
      <c r="CO46" s="67"/>
      <c r="CP46" s="67"/>
      <c r="CQ46" s="67"/>
      <c r="CR46" s="56"/>
      <c r="CS46" s="55"/>
      <c r="CT46" s="67"/>
      <c r="CU46" s="67"/>
      <c r="CV46" s="67"/>
      <c r="CW46" s="67"/>
      <c r="CX46" s="67"/>
    </row>
    <row r="47" ht="19.5" customHeight="1" outlineLevel="1">
      <c r="A47" s="57" t="s">
        <v>143</v>
      </c>
      <c r="B47" s="58" t="s">
        <v>144</v>
      </c>
      <c r="C47" s="59" t="s">
        <v>11</v>
      </c>
      <c r="D47" s="59" t="s">
        <v>54</v>
      </c>
      <c r="E47" s="60" t="s">
        <v>55</v>
      </c>
      <c r="F47" s="61">
        <v>46168.0</v>
      </c>
      <c r="G47" s="61">
        <v>46237.0</v>
      </c>
      <c r="H47" s="62">
        <f t="shared" si="1"/>
        <v>70</v>
      </c>
      <c r="I47" s="63">
        <f t="shared" si="11"/>
        <v>0.2898550725</v>
      </c>
      <c r="J47" s="64" t="s">
        <v>73</v>
      </c>
      <c r="K47" s="65" t="str">
        <f t="shared" si="12"/>
        <v/>
      </c>
      <c r="L47" s="66"/>
      <c r="M47" s="16"/>
      <c r="N47" s="67"/>
      <c r="O47" s="67"/>
      <c r="P47" s="67"/>
      <c r="Q47" s="67"/>
      <c r="R47" s="67"/>
      <c r="S47" s="55"/>
      <c r="T47" s="55"/>
      <c r="U47" s="67"/>
      <c r="V47" s="67"/>
      <c r="W47" s="67"/>
      <c r="X47" s="67"/>
      <c r="Y47" s="67"/>
      <c r="Z47" s="56"/>
      <c r="AA47" s="55"/>
      <c r="AB47" s="67"/>
      <c r="AC47" s="67"/>
      <c r="AD47" s="67"/>
      <c r="AE47" s="67"/>
      <c r="AF47" s="67"/>
      <c r="AG47" s="55"/>
      <c r="AH47" s="55"/>
      <c r="AI47" s="67"/>
      <c r="AJ47" s="67"/>
      <c r="AK47" s="67"/>
      <c r="AL47" s="67"/>
      <c r="AM47" s="67"/>
      <c r="AN47" s="55"/>
      <c r="AO47" s="55"/>
      <c r="AP47" s="67"/>
      <c r="AQ47" s="67"/>
      <c r="AR47" s="67"/>
      <c r="AS47" s="67"/>
      <c r="AT47" s="67"/>
      <c r="AU47" s="55"/>
      <c r="AV47" s="55"/>
      <c r="AW47" s="67"/>
      <c r="AX47" s="67"/>
      <c r="AY47" s="67"/>
      <c r="AZ47" s="67"/>
      <c r="BA47" s="67"/>
      <c r="BB47" s="55"/>
      <c r="BC47" s="55"/>
      <c r="BD47" s="67"/>
      <c r="BE47" s="67"/>
      <c r="BF47" s="67"/>
      <c r="BG47" s="67"/>
      <c r="BH47" s="67"/>
      <c r="BI47" s="55"/>
      <c r="BJ47" s="55"/>
      <c r="BK47" s="67"/>
      <c r="BL47" s="67"/>
      <c r="BM47" s="67"/>
      <c r="BN47" s="67"/>
      <c r="BO47" s="67"/>
      <c r="BP47" s="55"/>
      <c r="BQ47" s="55"/>
      <c r="BR47" s="67"/>
      <c r="BS47" s="67"/>
      <c r="BT47" s="67"/>
      <c r="BU47" s="67"/>
      <c r="BV47" s="67"/>
      <c r="BW47" s="55"/>
      <c r="BX47" s="55"/>
      <c r="BY47" s="67"/>
      <c r="BZ47" s="67"/>
      <c r="CA47" s="67"/>
      <c r="CB47" s="67"/>
      <c r="CC47" s="67"/>
      <c r="CD47" s="55"/>
      <c r="CE47" s="55"/>
      <c r="CF47" s="67"/>
      <c r="CG47" s="67"/>
      <c r="CH47" s="67"/>
      <c r="CI47" s="67"/>
      <c r="CJ47" s="67"/>
      <c r="CK47" s="55"/>
      <c r="CL47" s="55"/>
      <c r="CM47" s="67"/>
      <c r="CN47" s="67"/>
      <c r="CO47" s="67"/>
      <c r="CP47" s="67"/>
      <c r="CQ47" s="67"/>
      <c r="CR47" s="56"/>
      <c r="CS47" s="55"/>
      <c r="CT47" s="67"/>
      <c r="CU47" s="67"/>
      <c r="CV47" s="67"/>
      <c r="CW47" s="67"/>
      <c r="CX47" s="67"/>
    </row>
    <row r="48" ht="19.5" customHeight="1" outlineLevel="1">
      <c r="A48" s="57" t="s">
        <v>145</v>
      </c>
      <c r="B48" s="58" t="s">
        <v>146</v>
      </c>
      <c r="C48" s="59" t="s">
        <v>11</v>
      </c>
      <c r="D48" s="59" t="s">
        <v>54</v>
      </c>
      <c r="E48" s="60" t="s">
        <v>55</v>
      </c>
      <c r="F48" s="61">
        <v>46168.0</v>
      </c>
      <c r="G48" s="61">
        <v>46237.0</v>
      </c>
      <c r="H48" s="62">
        <f t="shared" si="1"/>
        <v>70</v>
      </c>
      <c r="I48" s="63">
        <f t="shared" si="11"/>
        <v>0.2898550725</v>
      </c>
      <c r="J48" s="64" t="s">
        <v>73</v>
      </c>
      <c r="K48" s="65" t="str">
        <f t="shared" si="12"/>
        <v/>
      </c>
      <c r="L48" s="66"/>
      <c r="M48" s="16"/>
      <c r="N48" s="67"/>
      <c r="O48" s="67"/>
      <c r="P48" s="67"/>
      <c r="Q48" s="67"/>
      <c r="R48" s="67"/>
      <c r="S48" s="55"/>
      <c r="T48" s="55"/>
      <c r="U48" s="67"/>
      <c r="V48" s="67"/>
      <c r="W48" s="67"/>
      <c r="X48" s="67"/>
      <c r="Y48" s="67"/>
      <c r="Z48" s="56"/>
      <c r="AA48" s="55"/>
      <c r="AB48" s="67"/>
      <c r="AC48" s="67"/>
      <c r="AD48" s="67"/>
      <c r="AE48" s="67"/>
      <c r="AF48" s="67"/>
      <c r="AG48" s="55"/>
      <c r="AH48" s="55"/>
      <c r="AI48" s="67"/>
      <c r="AJ48" s="67"/>
      <c r="AK48" s="67"/>
      <c r="AL48" s="67"/>
      <c r="AM48" s="67"/>
      <c r="AN48" s="55"/>
      <c r="AO48" s="55"/>
      <c r="AP48" s="67"/>
      <c r="AQ48" s="67"/>
      <c r="AR48" s="67"/>
      <c r="AS48" s="67"/>
      <c r="AT48" s="67"/>
      <c r="AU48" s="55"/>
      <c r="AV48" s="55"/>
      <c r="AW48" s="67"/>
      <c r="AX48" s="67"/>
      <c r="AY48" s="67"/>
      <c r="AZ48" s="67"/>
      <c r="BA48" s="67"/>
      <c r="BB48" s="55"/>
      <c r="BC48" s="55"/>
      <c r="BD48" s="67"/>
      <c r="BE48" s="67"/>
      <c r="BF48" s="67"/>
      <c r="BG48" s="67"/>
      <c r="BH48" s="67"/>
      <c r="BI48" s="55"/>
      <c r="BJ48" s="55"/>
      <c r="BK48" s="67"/>
      <c r="BL48" s="67"/>
      <c r="BM48" s="67"/>
      <c r="BN48" s="67"/>
      <c r="BO48" s="67"/>
      <c r="BP48" s="55"/>
      <c r="BQ48" s="55"/>
      <c r="BR48" s="67"/>
      <c r="BS48" s="67"/>
      <c r="BT48" s="67"/>
      <c r="BU48" s="67"/>
      <c r="BV48" s="67"/>
      <c r="BW48" s="55"/>
      <c r="BX48" s="55"/>
      <c r="BY48" s="67"/>
      <c r="BZ48" s="67"/>
      <c r="CA48" s="67"/>
      <c r="CB48" s="67"/>
      <c r="CC48" s="67"/>
      <c r="CD48" s="55"/>
      <c r="CE48" s="55"/>
      <c r="CF48" s="67"/>
      <c r="CG48" s="67"/>
      <c r="CH48" s="67"/>
      <c r="CI48" s="67"/>
      <c r="CJ48" s="67"/>
      <c r="CK48" s="55"/>
      <c r="CL48" s="55"/>
      <c r="CM48" s="67"/>
      <c r="CN48" s="67"/>
      <c r="CO48" s="67"/>
      <c r="CP48" s="67"/>
      <c r="CQ48" s="67"/>
      <c r="CR48" s="56"/>
      <c r="CS48" s="55"/>
      <c r="CT48" s="67"/>
      <c r="CU48" s="67"/>
      <c r="CV48" s="67"/>
      <c r="CW48" s="67"/>
      <c r="CX48" s="67"/>
    </row>
    <row r="49" ht="19.5" customHeight="1" outlineLevel="1">
      <c r="A49" s="57" t="s">
        <v>147</v>
      </c>
      <c r="B49" s="58" t="s">
        <v>148</v>
      </c>
      <c r="C49" s="59" t="s">
        <v>11</v>
      </c>
      <c r="D49" s="59" t="s">
        <v>54</v>
      </c>
      <c r="E49" s="60" t="s">
        <v>55</v>
      </c>
      <c r="F49" s="61">
        <v>46168.0</v>
      </c>
      <c r="G49" s="61">
        <v>46180.0</v>
      </c>
      <c r="H49" s="62">
        <f t="shared" si="1"/>
        <v>13</v>
      </c>
      <c r="I49" s="63">
        <f t="shared" si="11"/>
        <v>0.99</v>
      </c>
      <c r="J49" s="64" t="s">
        <v>73</v>
      </c>
      <c r="K49" s="65" t="str">
        <f t="shared" si="12"/>
        <v>⚠ 마감 초과</v>
      </c>
      <c r="L49" s="66"/>
      <c r="M49" s="16"/>
      <c r="N49" s="67"/>
      <c r="O49" s="67"/>
      <c r="P49" s="67"/>
      <c r="Q49" s="67"/>
      <c r="R49" s="67"/>
      <c r="S49" s="55"/>
      <c r="T49" s="55"/>
      <c r="U49" s="67"/>
      <c r="V49" s="67"/>
      <c r="W49" s="67"/>
      <c r="X49" s="67"/>
      <c r="Y49" s="67"/>
      <c r="Z49" s="56"/>
      <c r="AA49" s="55"/>
      <c r="AB49" s="67"/>
      <c r="AC49" s="67"/>
      <c r="AD49" s="67"/>
      <c r="AE49" s="67"/>
      <c r="AF49" s="67"/>
      <c r="AG49" s="55"/>
      <c r="AH49" s="55"/>
      <c r="AI49" s="67"/>
      <c r="AJ49" s="67"/>
      <c r="AK49" s="67"/>
      <c r="AL49" s="67"/>
      <c r="AM49" s="67"/>
      <c r="AN49" s="55"/>
      <c r="AO49" s="55"/>
      <c r="AP49" s="67"/>
      <c r="AQ49" s="67"/>
      <c r="AR49" s="67"/>
      <c r="AS49" s="67"/>
      <c r="AT49" s="67"/>
      <c r="AU49" s="55"/>
      <c r="AV49" s="55"/>
      <c r="AW49" s="67"/>
      <c r="AX49" s="67"/>
      <c r="AY49" s="67"/>
      <c r="AZ49" s="67"/>
      <c r="BA49" s="67"/>
      <c r="BB49" s="55"/>
      <c r="BC49" s="55"/>
      <c r="BD49" s="67"/>
      <c r="BE49" s="67"/>
      <c r="BF49" s="67"/>
      <c r="BG49" s="67"/>
      <c r="BH49" s="67"/>
      <c r="BI49" s="55"/>
      <c r="BJ49" s="55"/>
      <c r="BK49" s="67"/>
      <c r="BL49" s="67"/>
      <c r="BM49" s="67"/>
      <c r="BN49" s="67"/>
      <c r="BO49" s="67"/>
      <c r="BP49" s="55"/>
      <c r="BQ49" s="55"/>
      <c r="BR49" s="67"/>
      <c r="BS49" s="67"/>
      <c r="BT49" s="67"/>
      <c r="BU49" s="67"/>
      <c r="BV49" s="67"/>
      <c r="BW49" s="55"/>
      <c r="BX49" s="55"/>
      <c r="BY49" s="67"/>
      <c r="BZ49" s="67"/>
      <c r="CA49" s="67"/>
      <c r="CB49" s="67"/>
      <c r="CC49" s="67"/>
      <c r="CD49" s="55"/>
      <c r="CE49" s="55"/>
      <c r="CF49" s="67"/>
      <c r="CG49" s="67"/>
      <c r="CH49" s="67"/>
      <c r="CI49" s="67"/>
      <c r="CJ49" s="67"/>
      <c r="CK49" s="55"/>
      <c r="CL49" s="55"/>
      <c r="CM49" s="67"/>
      <c r="CN49" s="67"/>
      <c r="CO49" s="67"/>
      <c r="CP49" s="67"/>
      <c r="CQ49" s="67"/>
      <c r="CR49" s="56"/>
      <c r="CS49" s="55"/>
      <c r="CT49" s="67"/>
      <c r="CU49" s="67"/>
      <c r="CV49" s="67"/>
      <c r="CW49" s="67"/>
      <c r="CX49" s="67"/>
    </row>
    <row r="50" ht="19.5" customHeight="1">
      <c r="A50" s="46" t="s">
        <v>149</v>
      </c>
      <c r="B50" s="47" t="s">
        <v>150</v>
      </c>
      <c r="C50" s="48"/>
      <c r="D50" s="48"/>
      <c r="E50" s="48"/>
      <c r="F50" s="49">
        <f>IFERROR(MINIFS(F51:F54,J51:J54,"&lt;&gt;삭제"),"")</f>
        <v>46228</v>
      </c>
      <c r="G50" s="49">
        <f>IFERROR(MAXIFS(G51:G54,J51:J54,"&lt;&gt;삭제"),"")</f>
        <v>46237</v>
      </c>
      <c r="H50" s="50">
        <f t="shared" si="1"/>
        <v>10</v>
      </c>
      <c r="I50" s="51">
        <f>IFERROR((IF(J51&lt;&gt;"삭제",I51,0)+IF(J52&lt;&gt;"삭제",I52,0)+IF(J53&lt;&gt;"삭제",I53,0)+IF(J54&lt;&gt;"삭제",I54,0))/(IF(J51&lt;&gt;"삭제",1,0)+IF(J52&lt;&gt;"삭제",1,0)+IF(J53&lt;&gt;"삭제",1,0)+IF(J54&lt;&gt;"삭제",1,0)),0)</f>
        <v>0</v>
      </c>
      <c r="J50" s="50"/>
      <c r="K50" s="52"/>
      <c r="L50" s="53"/>
      <c r="M50" s="54"/>
      <c r="N50" s="27"/>
      <c r="O50" s="27"/>
      <c r="P50" s="27"/>
      <c r="Q50" s="27"/>
      <c r="R50" s="27"/>
      <c r="S50" s="55"/>
      <c r="T50" s="55"/>
      <c r="U50" s="27"/>
      <c r="V50" s="27"/>
      <c r="W50" s="27"/>
      <c r="X50" s="27"/>
      <c r="Y50" s="27"/>
      <c r="Z50" s="56"/>
      <c r="AA50" s="55"/>
      <c r="AB50" s="27"/>
      <c r="AC50" s="27"/>
      <c r="AD50" s="27"/>
      <c r="AE50" s="27"/>
      <c r="AF50" s="27"/>
      <c r="AG50" s="55"/>
      <c r="AH50" s="55"/>
      <c r="AI50" s="27"/>
      <c r="AJ50" s="27"/>
      <c r="AK50" s="27"/>
      <c r="AL50" s="27"/>
      <c r="AM50" s="27"/>
      <c r="AN50" s="55"/>
      <c r="AO50" s="55"/>
      <c r="AP50" s="27"/>
      <c r="AQ50" s="27"/>
      <c r="AR50" s="27"/>
      <c r="AS50" s="27"/>
      <c r="AT50" s="27"/>
      <c r="AU50" s="55"/>
      <c r="AV50" s="55"/>
      <c r="AW50" s="27"/>
      <c r="AX50" s="27"/>
      <c r="AY50" s="27"/>
      <c r="AZ50" s="27"/>
      <c r="BA50" s="27"/>
      <c r="BB50" s="55"/>
      <c r="BC50" s="55"/>
      <c r="BD50" s="27"/>
      <c r="BE50" s="27"/>
      <c r="BF50" s="27"/>
      <c r="BG50" s="27"/>
      <c r="BH50" s="27"/>
      <c r="BI50" s="55"/>
      <c r="BJ50" s="55"/>
      <c r="BK50" s="27"/>
      <c r="BL50" s="27"/>
      <c r="BM50" s="27"/>
      <c r="BN50" s="27"/>
      <c r="BO50" s="27"/>
      <c r="BP50" s="55"/>
      <c r="BQ50" s="55"/>
      <c r="BR50" s="27"/>
      <c r="BS50" s="27"/>
      <c r="BT50" s="27"/>
      <c r="BU50" s="27"/>
      <c r="BV50" s="27"/>
      <c r="BW50" s="55"/>
      <c r="BX50" s="55"/>
      <c r="BY50" s="27"/>
      <c r="BZ50" s="27"/>
      <c r="CA50" s="27"/>
      <c r="CB50" s="27"/>
      <c r="CC50" s="27"/>
      <c r="CD50" s="55"/>
      <c r="CE50" s="55"/>
      <c r="CF50" s="27"/>
      <c r="CG50" s="27"/>
      <c r="CH50" s="27"/>
      <c r="CI50" s="27"/>
      <c r="CJ50" s="27"/>
      <c r="CK50" s="55"/>
      <c r="CL50" s="55"/>
      <c r="CM50" s="27"/>
      <c r="CN50" s="27"/>
      <c r="CO50" s="27"/>
      <c r="CP50" s="27"/>
      <c r="CQ50" s="27"/>
      <c r="CR50" s="56"/>
      <c r="CS50" s="55"/>
      <c r="CT50" s="27"/>
      <c r="CU50" s="27"/>
      <c r="CV50" s="27"/>
      <c r="CW50" s="27"/>
      <c r="CX50" s="27"/>
    </row>
    <row r="51" ht="19.5" customHeight="1" outlineLevel="1">
      <c r="A51" s="57" t="s">
        <v>151</v>
      </c>
      <c r="B51" s="58" t="s">
        <v>152</v>
      </c>
      <c r="C51" s="59" t="s">
        <v>69</v>
      </c>
      <c r="D51" s="59" t="s">
        <v>54</v>
      </c>
      <c r="E51" s="60" t="s">
        <v>55</v>
      </c>
      <c r="F51" s="61">
        <v>46228.0</v>
      </c>
      <c r="G51" s="61">
        <v>46231.0</v>
      </c>
      <c r="H51" s="62">
        <f t="shared" si="1"/>
        <v>4</v>
      </c>
      <c r="I51" s="63">
        <f t="shared" ref="I51:I54" si="13">IF(J51="삭제",0,IF(J51="완료",1,IFERROR(MIN(0.99,MAX(0,($F$3-F51)/(G51-F51))),0)))</f>
        <v>0</v>
      </c>
      <c r="J51" s="64" t="s">
        <v>16</v>
      </c>
      <c r="K51" s="65" t="str">
        <f t="shared" ref="K51:K54" si="14">IF(AND(G51&lt;&gt;"",G51&lt;$F$3,J51&lt;&gt;"완료",J51&lt;&gt;"삭제",J51&lt;&gt;""),"⚠ 마감 초과",IF(AND(G51&lt;&gt;"",G51&gt;$F$3,J51="완료"),"⚡ 미래 날짜 완료 이상",""))</f>
        <v/>
      </c>
      <c r="L51" s="66"/>
      <c r="M51" s="16"/>
      <c r="N51" s="67"/>
      <c r="O51" s="67"/>
      <c r="P51" s="67"/>
      <c r="Q51" s="67"/>
      <c r="R51" s="67"/>
      <c r="S51" s="55"/>
      <c r="T51" s="55"/>
      <c r="U51" s="67"/>
      <c r="V51" s="67"/>
      <c r="W51" s="67"/>
      <c r="X51" s="67"/>
      <c r="Y51" s="67"/>
      <c r="Z51" s="56"/>
      <c r="AA51" s="55"/>
      <c r="AB51" s="67"/>
      <c r="AC51" s="67"/>
      <c r="AD51" s="67"/>
      <c r="AE51" s="67"/>
      <c r="AF51" s="67"/>
      <c r="AG51" s="55"/>
      <c r="AH51" s="55"/>
      <c r="AI51" s="67"/>
      <c r="AJ51" s="67"/>
      <c r="AK51" s="67"/>
      <c r="AL51" s="67"/>
      <c r="AM51" s="67"/>
      <c r="AN51" s="55"/>
      <c r="AO51" s="55"/>
      <c r="AP51" s="67"/>
      <c r="AQ51" s="67"/>
      <c r="AR51" s="67"/>
      <c r="AS51" s="67"/>
      <c r="AT51" s="67"/>
      <c r="AU51" s="55"/>
      <c r="AV51" s="55"/>
      <c r="AW51" s="67"/>
      <c r="AX51" s="67"/>
      <c r="AY51" s="67"/>
      <c r="AZ51" s="67"/>
      <c r="BA51" s="67"/>
      <c r="BB51" s="55"/>
      <c r="BC51" s="55"/>
      <c r="BD51" s="67"/>
      <c r="BE51" s="67"/>
      <c r="BF51" s="67"/>
      <c r="BG51" s="67"/>
      <c r="BH51" s="67"/>
      <c r="BI51" s="55"/>
      <c r="BJ51" s="55"/>
      <c r="BK51" s="67"/>
      <c r="BL51" s="67"/>
      <c r="BM51" s="67"/>
      <c r="BN51" s="67"/>
      <c r="BO51" s="67"/>
      <c r="BP51" s="55"/>
      <c r="BQ51" s="55"/>
      <c r="BR51" s="67"/>
      <c r="BS51" s="67"/>
      <c r="BT51" s="67"/>
      <c r="BU51" s="67"/>
      <c r="BV51" s="67"/>
      <c r="BW51" s="55"/>
      <c r="BX51" s="55"/>
      <c r="BY51" s="67"/>
      <c r="BZ51" s="67"/>
      <c r="CA51" s="67"/>
      <c r="CB51" s="67"/>
      <c r="CC51" s="67"/>
      <c r="CD51" s="55"/>
      <c r="CE51" s="55"/>
      <c r="CF51" s="67"/>
      <c r="CG51" s="67"/>
      <c r="CH51" s="67"/>
      <c r="CI51" s="67"/>
      <c r="CJ51" s="67"/>
      <c r="CK51" s="55"/>
      <c r="CL51" s="55"/>
      <c r="CM51" s="67"/>
      <c r="CN51" s="67"/>
      <c r="CO51" s="67"/>
      <c r="CP51" s="67"/>
      <c r="CQ51" s="67"/>
      <c r="CR51" s="56"/>
      <c r="CS51" s="55"/>
      <c r="CT51" s="67"/>
      <c r="CU51" s="67"/>
      <c r="CV51" s="67"/>
      <c r="CW51" s="67"/>
      <c r="CX51" s="67"/>
    </row>
    <row r="52" ht="19.5" customHeight="1" outlineLevel="1">
      <c r="A52" s="57" t="s">
        <v>153</v>
      </c>
      <c r="B52" s="58" t="s">
        <v>154</v>
      </c>
      <c r="C52" s="59" t="s">
        <v>11</v>
      </c>
      <c r="D52" s="59" t="s">
        <v>54</v>
      </c>
      <c r="E52" s="60" t="s">
        <v>55</v>
      </c>
      <c r="F52" s="61">
        <v>46231.0</v>
      </c>
      <c r="G52" s="61">
        <v>46233.0</v>
      </c>
      <c r="H52" s="62">
        <f t="shared" si="1"/>
        <v>3</v>
      </c>
      <c r="I52" s="63">
        <f t="shared" si="13"/>
        <v>0</v>
      </c>
      <c r="J52" s="64" t="s">
        <v>16</v>
      </c>
      <c r="K52" s="65" t="str">
        <f t="shared" si="14"/>
        <v/>
      </c>
      <c r="L52" s="66"/>
      <c r="M52" s="16"/>
      <c r="N52" s="67"/>
      <c r="O52" s="67"/>
      <c r="P52" s="67"/>
      <c r="Q52" s="67"/>
      <c r="R52" s="67"/>
      <c r="S52" s="55"/>
      <c r="T52" s="55"/>
      <c r="U52" s="67"/>
      <c r="V52" s="67"/>
      <c r="W52" s="67"/>
      <c r="X52" s="67"/>
      <c r="Y52" s="67"/>
      <c r="Z52" s="56"/>
      <c r="AA52" s="55"/>
      <c r="AB52" s="67"/>
      <c r="AC52" s="67"/>
      <c r="AD52" s="67"/>
      <c r="AE52" s="67"/>
      <c r="AF52" s="67"/>
      <c r="AG52" s="55"/>
      <c r="AH52" s="55"/>
      <c r="AI52" s="67"/>
      <c r="AJ52" s="67"/>
      <c r="AK52" s="67"/>
      <c r="AL52" s="67"/>
      <c r="AM52" s="67"/>
      <c r="AN52" s="55"/>
      <c r="AO52" s="55"/>
      <c r="AP52" s="67"/>
      <c r="AQ52" s="67"/>
      <c r="AR52" s="67"/>
      <c r="AS52" s="67"/>
      <c r="AT52" s="67"/>
      <c r="AU52" s="55"/>
      <c r="AV52" s="55"/>
      <c r="AW52" s="67"/>
      <c r="AX52" s="67"/>
      <c r="AY52" s="67"/>
      <c r="AZ52" s="67"/>
      <c r="BA52" s="67"/>
      <c r="BB52" s="55"/>
      <c r="BC52" s="55"/>
      <c r="BD52" s="67"/>
      <c r="BE52" s="67"/>
      <c r="BF52" s="67"/>
      <c r="BG52" s="67"/>
      <c r="BH52" s="67"/>
      <c r="BI52" s="55"/>
      <c r="BJ52" s="55"/>
      <c r="BK52" s="67"/>
      <c r="BL52" s="67"/>
      <c r="BM52" s="67"/>
      <c r="BN52" s="67"/>
      <c r="BO52" s="67"/>
      <c r="BP52" s="55"/>
      <c r="BQ52" s="55"/>
      <c r="BR52" s="67"/>
      <c r="BS52" s="67"/>
      <c r="BT52" s="67"/>
      <c r="BU52" s="67"/>
      <c r="BV52" s="67"/>
      <c r="BW52" s="55"/>
      <c r="BX52" s="55"/>
      <c r="BY52" s="67"/>
      <c r="BZ52" s="67"/>
      <c r="CA52" s="67"/>
      <c r="CB52" s="67"/>
      <c r="CC52" s="67"/>
      <c r="CD52" s="55"/>
      <c r="CE52" s="55"/>
      <c r="CF52" s="67"/>
      <c r="CG52" s="67"/>
      <c r="CH52" s="67"/>
      <c r="CI52" s="67"/>
      <c r="CJ52" s="67"/>
      <c r="CK52" s="55"/>
      <c r="CL52" s="55"/>
      <c r="CM52" s="67"/>
      <c r="CN52" s="67"/>
      <c r="CO52" s="67"/>
      <c r="CP52" s="67"/>
      <c r="CQ52" s="67"/>
      <c r="CR52" s="56"/>
      <c r="CS52" s="55"/>
      <c r="CT52" s="67"/>
      <c r="CU52" s="67"/>
      <c r="CV52" s="67"/>
      <c r="CW52" s="67"/>
      <c r="CX52" s="67"/>
    </row>
    <row r="53" ht="19.5" customHeight="1" outlineLevel="1">
      <c r="A53" s="57" t="s">
        <v>155</v>
      </c>
      <c r="B53" s="58" t="s">
        <v>156</v>
      </c>
      <c r="C53" s="59" t="s">
        <v>69</v>
      </c>
      <c r="D53" s="59" t="s">
        <v>109</v>
      </c>
      <c r="E53" s="60" t="s">
        <v>109</v>
      </c>
      <c r="F53" s="61">
        <v>46234.0</v>
      </c>
      <c r="G53" s="61">
        <v>46236.0</v>
      </c>
      <c r="H53" s="62">
        <f t="shared" si="1"/>
        <v>3</v>
      </c>
      <c r="I53" s="63">
        <f t="shared" si="13"/>
        <v>0</v>
      </c>
      <c r="J53" s="64" t="s">
        <v>17</v>
      </c>
      <c r="K53" s="65" t="str">
        <f t="shared" si="14"/>
        <v/>
      </c>
      <c r="L53" s="66"/>
      <c r="M53" s="16"/>
      <c r="N53" s="67"/>
      <c r="O53" s="67"/>
      <c r="P53" s="67"/>
      <c r="Q53" s="67"/>
      <c r="R53" s="67"/>
      <c r="S53" s="55"/>
      <c r="T53" s="55"/>
      <c r="U53" s="67"/>
      <c r="V53" s="67"/>
      <c r="W53" s="67"/>
      <c r="X53" s="67"/>
      <c r="Y53" s="67"/>
      <c r="Z53" s="56"/>
      <c r="AA53" s="55"/>
      <c r="AB53" s="67"/>
      <c r="AC53" s="67"/>
      <c r="AD53" s="67"/>
      <c r="AE53" s="67"/>
      <c r="AF53" s="67"/>
      <c r="AG53" s="55"/>
      <c r="AH53" s="55"/>
      <c r="AI53" s="67"/>
      <c r="AJ53" s="67"/>
      <c r="AK53" s="67"/>
      <c r="AL53" s="67"/>
      <c r="AM53" s="67"/>
      <c r="AN53" s="55"/>
      <c r="AO53" s="55"/>
      <c r="AP53" s="67"/>
      <c r="AQ53" s="67"/>
      <c r="AR53" s="67"/>
      <c r="AS53" s="67"/>
      <c r="AT53" s="67"/>
      <c r="AU53" s="55"/>
      <c r="AV53" s="55"/>
      <c r="AW53" s="67"/>
      <c r="AX53" s="67"/>
      <c r="AY53" s="67"/>
      <c r="AZ53" s="67"/>
      <c r="BA53" s="67"/>
      <c r="BB53" s="55"/>
      <c r="BC53" s="55"/>
      <c r="BD53" s="67"/>
      <c r="BE53" s="67"/>
      <c r="BF53" s="67"/>
      <c r="BG53" s="67"/>
      <c r="BH53" s="67"/>
      <c r="BI53" s="55"/>
      <c r="BJ53" s="55"/>
      <c r="BK53" s="67"/>
      <c r="BL53" s="67"/>
      <c r="BM53" s="67"/>
      <c r="BN53" s="67"/>
      <c r="BO53" s="67"/>
      <c r="BP53" s="55"/>
      <c r="BQ53" s="55"/>
      <c r="BR53" s="67"/>
      <c r="BS53" s="67"/>
      <c r="BT53" s="67"/>
      <c r="BU53" s="67"/>
      <c r="BV53" s="67"/>
      <c r="BW53" s="55"/>
      <c r="BX53" s="55"/>
      <c r="BY53" s="67"/>
      <c r="BZ53" s="67"/>
      <c r="CA53" s="67"/>
      <c r="CB53" s="67"/>
      <c r="CC53" s="67"/>
      <c r="CD53" s="55"/>
      <c r="CE53" s="55"/>
      <c r="CF53" s="67"/>
      <c r="CG53" s="67"/>
      <c r="CH53" s="67"/>
      <c r="CI53" s="67"/>
      <c r="CJ53" s="67"/>
      <c r="CK53" s="55"/>
      <c r="CL53" s="55"/>
      <c r="CM53" s="67"/>
      <c r="CN53" s="67"/>
      <c r="CO53" s="67"/>
      <c r="CP53" s="67"/>
      <c r="CQ53" s="67"/>
      <c r="CR53" s="56"/>
      <c r="CS53" s="55"/>
      <c r="CT53" s="67"/>
      <c r="CU53" s="67"/>
      <c r="CV53" s="67"/>
      <c r="CW53" s="67"/>
      <c r="CX53" s="67"/>
    </row>
    <row r="54" ht="19.5" customHeight="1" outlineLevel="1">
      <c r="A54" s="57" t="s">
        <v>157</v>
      </c>
      <c r="B54" s="58" t="s">
        <v>158</v>
      </c>
      <c r="C54" s="59" t="s">
        <v>11</v>
      </c>
      <c r="D54" s="59" t="s">
        <v>54</v>
      </c>
      <c r="E54" s="60" t="s">
        <v>55</v>
      </c>
      <c r="F54" s="61">
        <v>46237.0</v>
      </c>
      <c r="G54" s="61">
        <v>46237.0</v>
      </c>
      <c r="H54" s="62">
        <f t="shared" si="1"/>
        <v>1</v>
      </c>
      <c r="I54" s="63">
        <f t="shared" si="13"/>
        <v>0</v>
      </c>
      <c r="J54" s="64" t="s">
        <v>16</v>
      </c>
      <c r="K54" s="65" t="str">
        <f t="shared" si="14"/>
        <v/>
      </c>
      <c r="L54" s="66"/>
      <c r="M54" s="16"/>
      <c r="N54" s="67"/>
      <c r="O54" s="67"/>
      <c r="P54" s="67"/>
      <c r="Q54" s="67"/>
      <c r="R54" s="67"/>
      <c r="S54" s="55"/>
      <c r="T54" s="55"/>
      <c r="U54" s="67"/>
      <c r="V54" s="67"/>
      <c r="W54" s="67"/>
      <c r="X54" s="67"/>
      <c r="Y54" s="67"/>
      <c r="Z54" s="56"/>
      <c r="AA54" s="55"/>
      <c r="AB54" s="67"/>
      <c r="AC54" s="67"/>
      <c r="AD54" s="67"/>
      <c r="AE54" s="67"/>
      <c r="AF54" s="67"/>
      <c r="AG54" s="55"/>
      <c r="AH54" s="55"/>
      <c r="AI54" s="67"/>
      <c r="AJ54" s="67"/>
      <c r="AK54" s="67"/>
      <c r="AL54" s="67"/>
      <c r="AM54" s="67"/>
      <c r="AN54" s="55"/>
      <c r="AO54" s="55"/>
      <c r="AP54" s="67"/>
      <c r="AQ54" s="67"/>
      <c r="AR54" s="67"/>
      <c r="AS54" s="67"/>
      <c r="AT54" s="67"/>
      <c r="AU54" s="55"/>
      <c r="AV54" s="55"/>
      <c r="AW54" s="67"/>
      <c r="AX54" s="67"/>
      <c r="AY54" s="67"/>
      <c r="AZ54" s="67"/>
      <c r="BA54" s="67"/>
      <c r="BB54" s="55"/>
      <c r="BC54" s="55"/>
      <c r="BD54" s="67"/>
      <c r="BE54" s="67"/>
      <c r="BF54" s="67"/>
      <c r="BG54" s="67"/>
      <c r="BH54" s="67"/>
      <c r="BI54" s="55"/>
      <c r="BJ54" s="55"/>
      <c r="BK54" s="67"/>
      <c r="BL54" s="67"/>
      <c r="BM54" s="67"/>
      <c r="BN54" s="67"/>
      <c r="BO54" s="67"/>
      <c r="BP54" s="55"/>
      <c r="BQ54" s="55"/>
      <c r="BR54" s="67"/>
      <c r="BS54" s="67"/>
      <c r="BT54" s="67"/>
      <c r="BU54" s="67"/>
      <c r="BV54" s="67"/>
      <c r="BW54" s="55"/>
      <c r="BX54" s="55"/>
      <c r="BY54" s="67"/>
      <c r="BZ54" s="67"/>
      <c r="CA54" s="67"/>
      <c r="CB54" s="67"/>
      <c r="CC54" s="67"/>
      <c r="CD54" s="55"/>
      <c r="CE54" s="55"/>
      <c r="CF54" s="67"/>
      <c r="CG54" s="67"/>
      <c r="CH54" s="67"/>
      <c r="CI54" s="67"/>
      <c r="CJ54" s="67"/>
      <c r="CK54" s="55"/>
      <c r="CL54" s="55"/>
      <c r="CM54" s="67"/>
      <c r="CN54" s="67"/>
      <c r="CO54" s="67"/>
      <c r="CP54" s="67"/>
      <c r="CQ54" s="67"/>
      <c r="CR54" s="56"/>
      <c r="CS54" s="55"/>
      <c r="CT54" s="67"/>
      <c r="CU54" s="67"/>
      <c r="CV54" s="67"/>
      <c r="CW54" s="67"/>
      <c r="CX54" s="67"/>
    </row>
    <row r="55" ht="19.5" customHeight="1"/>
    <row r="56" ht="19.5" customHeight="1">
      <c r="A56" s="75" t="s">
        <v>159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</row>
    <row r="57" ht="19.5" customHeight="1">
      <c r="A57" s="76" t="s">
        <v>160</v>
      </c>
      <c r="B57" s="77">
        <f>IFERROR(MINIFS(F12:F54,J12:J54,"&lt;&gt;삭제"),"")</f>
        <v>46168</v>
      </c>
      <c r="C57" s="2"/>
      <c r="D57" s="2"/>
      <c r="E57" s="2"/>
      <c r="F57" s="2"/>
      <c r="G57" s="3"/>
    </row>
    <row r="58" ht="19.5" customHeight="1">
      <c r="A58" s="76" t="s">
        <v>161</v>
      </c>
      <c r="B58" s="77">
        <f>IFERROR(MAXIFS(G12:G54,J12:J54,"&lt;&gt;삭제"),"")</f>
        <v>46237</v>
      </c>
      <c r="C58" s="2"/>
      <c r="D58" s="2"/>
      <c r="E58" s="2"/>
      <c r="F58" s="2"/>
      <c r="G58" s="3"/>
    </row>
    <row r="59" ht="19.5" customHeight="1">
      <c r="A59" s="76" t="s">
        <v>6</v>
      </c>
      <c r="B59" s="77">
        <f>$F$3</f>
        <v>46188</v>
      </c>
      <c r="C59" s="2"/>
      <c r="D59" s="2"/>
      <c r="E59" s="2"/>
      <c r="F59" s="2"/>
      <c r="G59" s="3"/>
    </row>
    <row r="60" ht="19.5" customHeight="1">
      <c r="A60" s="76" t="s">
        <v>162</v>
      </c>
      <c r="B60" s="78">
        <f>IFERROR(AVERAGEIFS(I12:I54,J12:J54,"&lt;&gt;삭제",J12:J54,"&lt;&gt;"),0)</f>
        <v>0.4002935544</v>
      </c>
      <c r="C60" s="2"/>
      <c r="D60" s="2"/>
      <c r="E60" s="2"/>
      <c r="F60" s="2"/>
      <c r="G60" s="3"/>
    </row>
    <row r="61" ht="19.5" customHeight="1">
      <c r="A61" s="79" t="s">
        <v>163</v>
      </c>
      <c r="B61" s="80">
        <f>COUNTIFS(G12:G54,"&lt;"&amp;$F$3,J12:J54,"&lt;&gt;완료",J12:J54,"&lt;&gt;삭제",J12:J54,"&lt;&gt;",G12:G54,"&lt;&gt;")</f>
        <v>2</v>
      </c>
      <c r="C61" s="2"/>
      <c r="D61" s="2"/>
      <c r="E61" s="2"/>
      <c r="F61" s="2"/>
      <c r="G61" s="3"/>
    </row>
    <row r="62" ht="19.5" customHeight="1">
      <c r="A62" s="81" t="s">
        <v>164</v>
      </c>
      <c r="B62" s="82">
        <f>COUNTIFS(G12:G54,"&gt;"&amp;$F$3,J12:J54,"완료")</f>
        <v>1</v>
      </c>
      <c r="C62" s="2"/>
      <c r="D62" s="2"/>
      <c r="E62" s="2"/>
      <c r="F62" s="2"/>
      <c r="G62" s="3"/>
    </row>
    <row r="63" ht="19.5" customHeight="1"/>
    <row r="64" ht="19.5" customHeight="1">
      <c r="A64" s="83" t="s">
        <v>165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CX1"/>
    <mergeCell ref="B3:D3"/>
    <mergeCell ref="G3:I3"/>
    <mergeCell ref="N3:CX3"/>
    <mergeCell ref="B4:D4"/>
    <mergeCell ref="F4:L4"/>
    <mergeCell ref="N4:CX4"/>
    <mergeCell ref="B57:G57"/>
    <mergeCell ref="B58:G58"/>
    <mergeCell ref="B59:G59"/>
    <mergeCell ref="B60:G60"/>
    <mergeCell ref="B61:G61"/>
    <mergeCell ref="B62:G62"/>
    <mergeCell ref="A64:CX64"/>
    <mergeCell ref="N6:T6"/>
    <mergeCell ref="U6:AX6"/>
    <mergeCell ref="AY6:CC6"/>
    <mergeCell ref="CD6:CX6"/>
    <mergeCell ref="A9:M9"/>
    <mergeCell ref="A10:M10"/>
    <mergeCell ref="A56:L56"/>
  </mergeCells>
  <conditionalFormatting sqref="A12:L54">
    <cfRule type="expression" dxfId="0" priority="1">
      <formula>AND($G12&lt;&gt;"",$G12&lt;$F$3,$J12&lt;&gt;"완료",$J12&lt;&gt;"삭제",$J12&lt;&gt;"",$G12&lt;&gt;"")</formula>
    </cfRule>
  </conditionalFormatting>
  <conditionalFormatting sqref="A12:L54">
    <cfRule type="expression" dxfId="1" priority="2">
      <formula>AND($G12&lt;&gt;"",$G12&gt;$F$3,$J12="완료")</formula>
    </cfRule>
  </conditionalFormatting>
  <conditionalFormatting sqref="A12:L54">
    <cfRule type="expression" dxfId="2" priority="3">
      <formula>$J12="완료"</formula>
    </cfRule>
  </conditionalFormatting>
  <conditionalFormatting sqref="A12:L54">
    <cfRule type="expression" dxfId="3" priority="4">
      <formula>$J12="진행중"</formula>
    </cfRule>
  </conditionalFormatting>
  <conditionalFormatting sqref="A12:L54">
    <cfRule type="expression" dxfId="4" priority="5">
      <formula>$J12="대기"</formula>
    </cfRule>
  </conditionalFormatting>
  <conditionalFormatting sqref="A12:L54">
    <cfRule type="expression" dxfId="5" priority="6">
      <formula>$J12="보류"</formula>
    </cfRule>
  </conditionalFormatting>
  <conditionalFormatting sqref="A12:L54">
    <cfRule type="expression" dxfId="6" priority="7">
      <formula>$J12="변경"</formula>
    </cfRule>
  </conditionalFormatting>
  <conditionalFormatting sqref="A12:L54">
    <cfRule type="expression" dxfId="7" priority="8">
      <formula>$J12="삭제"</formula>
    </cfRule>
  </conditionalFormatting>
  <conditionalFormatting sqref="J12:J54">
    <cfRule type="expression" dxfId="8" priority="9">
      <formula>AND($G12&lt;&gt;"",$G12&lt;$F$3,$J12&lt;&gt;"완료",$J12&lt;&gt;"삭제",$J12&lt;&gt;"",$G12&lt;&gt;"")</formula>
    </cfRule>
  </conditionalFormatting>
  <conditionalFormatting sqref="J12:J54">
    <cfRule type="expression" dxfId="9" priority="10">
      <formula>AND($G12&lt;&gt;"",$G12&gt;$F$3,$J12="완료")</formula>
    </cfRule>
  </conditionalFormatting>
  <conditionalFormatting sqref="K12:K54">
    <cfRule type="expression" dxfId="10" priority="11">
      <formula>AND($G12&lt;&gt;"",$G12&lt;$F$3,$J12&lt;&gt;"완료",$J12&lt;&gt;"삭제",$J12&lt;&gt;"",$G12&lt;&gt;"")</formula>
    </cfRule>
  </conditionalFormatting>
  <conditionalFormatting sqref="K12:K54">
    <cfRule type="expression" dxfId="1" priority="12">
      <formula>AND($G12&lt;&gt;"",$G12&gt;$F$3,$J12="완료")</formula>
    </cfRule>
  </conditionalFormatting>
  <conditionalFormatting sqref="N12:CX54">
    <cfRule type="expression" dxfId="11" priority="13">
      <formula>AND(N$7&gt;=$F12,N$7&lt;=$G12,$J12="",OR(AND(WEEKDAY(N$7,2)&lt;6,N$9&lt;&gt;"휴"),N12="Y"),$K$3="표시")</formula>
    </cfRule>
  </conditionalFormatting>
  <conditionalFormatting sqref="N12:CX54">
    <cfRule type="expression" dxfId="12" priority="14">
      <formula>AND(N$7&gt;=$F12,N$7&lt;=$G12,$J12="완료",OR(AND(WEEKDAY(N$7,2)&lt;6,N$9&lt;&gt;"휴"),N12="Y"))</formula>
    </cfRule>
  </conditionalFormatting>
  <conditionalFormatting sqref="N12:CX54">
    <cfRule type="expression" dxfId="13" priority="15">
      <formula>AND(N$7&gt;=$F12,N$7&lt;=$F12+($G12-$F12)*$I12,$J12="진행중",OR(AND(WEEKDAY(N$7,2)&lt;6,N$9&lt;&gt;"휴"),N12="Y"))</formula>
    </cfRule>
  </conditionalFormatting>
  <conditionalFormatting sqref="N12:CX54">
    <cfRule type="expression" dxfId="14" priority="16">
      <formula>AND(N$7&gt;$F12+($G12-$F12)*$I12,N$7&lt;=$G12,$J12="진행중",OR(AND(WEEKDAY(N$7,2)&lt;6,N$9&lt;&gt;"휴"),N12="Y"))</formula>
    </cfRule>
  </conditionalFormatting>
  <conditionalFormatting sqref="N12:CX54">
    <cfRule type="expression" dxfId="15" priority="17">
      <formula>AND(N$7&gt;=$F12,N$7&lt;=$G12,$J12="대기",OR(AND(WEEKDAY(N$7,2)&lt;6,N$9&lt;&gt;"휴"),N12="Y"))</formula>
    </cfRule>
  </conditionalFormatting>
  <conditionalFormatting sqref="N12:CX54">
    <cfRule type="expression" dxfId="16" priority="18">
      <formula>AND(N$7&gt;=$F12,N$7&lt;=$G12,$J12="보류",OR(AND(WEEKDAY(N$7,2)&lt;6,N$9&lt;&gt;"휴"),N12="Y"))</formula>
    </cfRule>
  </conditionalFormatting>
  <conditionalFormatting sqref="N12:CX54">
    <cfRule type="expression" dxfId="17" priority="19">
      <formula>AND(N$7&gt;=$F12,N$7&lt;=$F12+($G12-$F12)*$I12,$J12="변경",OR(AND(WEEKDAY(N$7,2)&lt;6,N$9&lt;&gt;"휴"),N12="Y"))</formula>
    </cfRule>
  </conditionalFormatting>
  <conditionalFormatting sqref="N12:CX54">
    <cfRule type="expression" dxfId="18" priority="20">
      <formula>AND(N$7&gt;$F12+($G12-$F12)*$I12,N$7&lt;=$G12,$J12="변경",OR(AND(WEEKDAY(N$7,2)&lt;6,N$9&lt;&gt;"휴"),N12="Y"))</formula>
    </cfRule>
  </conditionalFormatting>
  <conditionalFormatting sqref="N12:CX54">
    <cfRule type="expression" dxfId="19" priority="21">
      <formula>AND(N$7&gt;=$F12,N$7&lt;=$G12,$J12="삭제",OR(AND(WEEKDAY(N$7,2)&lt;6,N$9&lt;&gt;"휴"),N12="Y"))</formula>
    </cfRule>
  </conditionalFormatting>
  <conditionalFormatting sqref="N12:CX54">
    <cfRule type="expression" dxfId="20" priority="22">
      <formula>AND(N$7&gt;=$F12,N$7&lt;=$G12,AND($G12&lt;&gt;"",$G12&lt;$F$3,$J12&lt;&gt;"완료",$J12&lt;&gt;"삭제",$J12&lt;&gt;"",$G12&lt;&gt;""),OR(AND(WEEKDAY(N$7,2)&lt;6,N$9&lt;&gt;"휴"),N12="Y"))</formula>
    </cfRule>
  </conditionalFormatting>
  <conditionalFormatting sqref="N12:CX54">
    <cfRule type="expression" dxfId="21" priority="23">
      <formula>AND(N$7&gt;=$F12,N$7&lt;=$G12,AND($G12&lt;&gt;"",$G12&gt;$F$3,$J12="완료"),OR(AND(WEEKDAY(N$7,2)&lt;6,N$9&lt;&gt;"휴"),N12="Y"))</formula>
    </cfRule>
  </conditionalFormatting>
  <dataValidations>
    <dataValidation type="list" allowBlank="1" sqref="K3">
      <formula1>"표시,숨기기"</formula1>
    </dataValidation>
    <dataValidation type="list" allowBlank="1" sqref="S13:T18 Z13:AA18 AG13:AH18 AN13:AO18 AU13:AV18 BB13:BC18 BI13:BJ18 BP13:BQ18 BW13:BX18 CD13:CE18 CK13:CL18 CR13:CS18 S20:T33 Z20:AA33 AG20:AH33 AN20:AO33 AU20:AV33 BB20:BC33 BI20:BJ33 BP20:BQ33 BW20:BX33 CD20:CE33 CK20:CL33 CR20:CS33 S35:T44 Z35:AA44 AG35:AH44 AN35:AO44 AU35:AV44 BB35:BC44 BI35:BJ44 BP35:BQ44 BW35:BX44 CD35:CE44 CK35:CL44 CR35:CS44 S46:T49 Z46:AA49 AG46:AH49 AN46:AO49 AU46:AV49 BB46:BC49 BI46:BJ49 BP46:BQ49 BW46:BX49 CD46:CE49 CK46:CL49 CR46:CS49 S51:T54 Z51:AA54 AG51:AH54 AN51:AO54 AU51:AV54 BB51:BC54 BI51:BJ54 BP51:BQ54 BW51:BX54 CD51:CE54 CK51:CL54 CR51:CS54">
      <formula1>"Y"</formula1>
    </dataValidation>
    <dataValidation type="list" allowBlank="1" sqref="J13:J18 J20:J33 J35:J44 J46:J49 J51:J54">
      <formula1>"대기,진행중,완료,보류,변경,삭제"</formula1>
    </dataValidation>
    <dataValidation type="list" allowBlank="1" sqref="E13:E18 E20:E26 E28:E31 E33 E35:E44 E46:E49 E51:E52 E54">
      <formula1>"특급,고급,중급,초급,-"</formula1>
    </dataValidation>
    <dataValidation type="list" allowBlank="1" sqref="Z9 CR9">
      <formula1>"휴,Y"</formula1>
    </dataValidation>
  </dataValidations>
  <hyperlinks>
    <hyperlink r:id="rId1" ref="B2"/>
    <hyperlink r:id="rId2" ref="D2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32.0"/>
    <col customWidth="1" min="4" max="10" width="14.0"/>
    <col customWidth="1" min="11" max="26" width="8.71"/>
  </cols>
  <sheetData>
    <row r="1" ht="37.5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  <c r="B2" s="5" t="s">
        <v>2</v>
      </c>
      <c r="C2" s="6" t="s">
        <v>3</v>
      </c>
      <c r="D2" s="5" t="s">
        <v>4</v>
      </c>
      <c r="E2" s="7"/>
      <c r="F2" s="7"/>
      <c r="G2" s="7"/>
      <c r="H2" s="7"/>
      <c r="I2" s="7"/>
      <c r="J2" s="7"/>
    </row>
    <row r="3">
      <c r="A3" s="84" t="s">
        <v>6</v>
      </c>
      <c r="B3" s="11">
        <f>WBS!F3</f>
        <v>46188</v>
      </c>
    </row>
    <row r="4">
      <c r="A4" s="85" t="s">
        <v>162</v>
      </c>
      <c r="B4" s="2"/>
      <c r="C4" s="3"/>
    </row>
    <row r="5" ht="49.5" customHeight="1">
      <c r="A5" s="86">
        <f>IFERROR(AVERAGEIFS(WBS!I12:WBS!I54,WBS!J12:WBS!J54,"&lt;&gt;삭제",WBS!J12:WBS!J54,"&lt;&gt;"),0)</f>
        <v>0.4002935544</v>
      </c>
      <c r="B5" s="2"/>
      <c r="C5" s="3"/>
    </row>
    <row r="7">
      <c r="A7" s="85" t="s">
        <v>167</v>
      </c>
      <c r="B7" s="2"/>
      <c r="C7" s="3"/>
    </row>
    <row r="8" ht="21.75" customHeight="1">
      <c r="A8" s="87" t="s">
        <v>13</v>
      </c>
      <c r="B8" s="88">
        <f>COUNTIF(WBS!J12:WBS!J54,"완료")</f>
        <v>11</v>
      </c>
      <c r="C8" s="89" t="str">
        <f>REPT("■",COUNTIF(WBS!J12:WBS!J54,"완료"))</f>
        <v>■■■■■■■■■■■</v>
      </c>
    </row>
    <row r="9" ht="21.75" customHeight="1">
      <c r="A9" s="90" t="s">
        <v>73</v>
      </c>
      <c r="B9" s="91">
        <f>COUNTIF(WBS!J12:WBS!J54,"진행중")</f>
        <v>9</v>
      </c>
      <c r="C9" s="92" t="str">
        <f>REPT("■",COUNTIF(WBS!J12:WBS!J54,"진행중"))</f>
        <v>■■■■■■■■■</v>
      </c>
    </row>
    <row r="10" ht="21.75" customHeight="1">
      <c r="A10" s="93" t="s">
        <v>16</v>
      </c>
      <c r="B10" s="94">
        <f>COUNTIF(WBS!J12:WBS!J54,"대기")</f>
        <v>14</v>
      </c>
      <c r="C10" s="95" t="str">
        <f>REPT("■",COUNTIF(WBS!J12:WBS!J54,"대기"))</f>
        <v>■■■■■■■■■■■■■■</v>
      </c>
    </row>
    <row r="11" ht="21.75" customHeight="1">
      <c r="A11" s="96" t="s">
        <v>17</v>
      </c>
      <c r="B11" s="97">
        <f>COUNTIF(WBS!J12:WBS!J54,"보류")</f>
        <v>2</v>
      </c>
      <c r="C11" s="98" t="str">
        <f>REPT("■",COUNTIF(WBS!J12:WBS!J54,"보류"))</f>
        <v>■■</v>
      </c>
    </row>
    <row r="12" ht="21.75" customHeight="1">
      <c r="A12" s="99" t="s">
        <v>96</v>
      </c>
      <c r="B12" s="100">
        <f>COUNTIF(WBS!J12:WBS!J54,"변경")</f>
        <v>1</v>
      </c>
      <c r="C12" s="101" t="str">
        <f>REPT("■",COUNTIF(WBS!J12:WBS!J54,"변경"))</f>
        <v>■</v>
      </c>
    </row>
    <row r="13" ht="21.75" customHeight="1">
      <c r="A13" s="102" t="s">
        <v>18</v>
      </c>
      <c r="B13" s="103">
        <f>COUNTIF(WBS!J12:WBS!J54,"삭제")</f>
        <v>1</v>
      </c>
      <c r="C13" s="104" t="str">
        <f>REPT("■",COUNTIF(WBS!J12:WBS!J54,"삭제"))</f>
        <v>■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4:C4"/>
    <mergeCell ref="A5:C5"/>
    <mergeCell ref="A7:C7"/>
  </mergeCells>
  <hyperlinks>
    <hyperlink r:id="rId1" ref="B2"/>
    <hyperlink r:id="rId2" ref="D2"/>
  </hyperlinks>
  <printOptions/>
  <pageMargins bottom="1.0" footer="0.0" header="0.0" left="0.75" right="0.75" top="1.0"/>
  <pageSetup orientation="landscape"/>
  <drawing r:id="rId3"/>
</worksheet>
</file>